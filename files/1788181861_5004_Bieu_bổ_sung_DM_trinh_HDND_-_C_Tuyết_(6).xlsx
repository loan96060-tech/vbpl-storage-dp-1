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2.xml" ContentType="application/vnd.openxmlformats-officedocument.spreadsheetml.externalLink+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11760" activeTab="1"/>
  </bookViews>
  <sheets>
    <sheet name="10a" sheetId="6" r:id="rId1"/>
    <sheet name="10b" sheetId="7" r:id="rId2"/>
  </sheets>
  <externalReferences>
    <externalReference r:id="rId3"/>
    <externalReference r:id="rId4"/>
    <externalReference r:id="rId5"/>
  </externalReferences>
  <definedNames>
    <definedName name="__b1">{"Thuxm2.xls","Sheet1"}</definedName>
    <definedName name="__CON1" localSheetId="0">#REF!</definedName>
    <definedName name="__CON1" localSheetId="1">#REF!</definedName>
    <definedName name="__CON1">#REF!</definedName>
    <definedName name="__CON2" localSheetId="0">#REF!</definedName>
    <definedName name="__CON2" localSheetId="1">#REF!</definedName>
    <definedName name="__CON2">#REF!</definedName>
    <definedName name="__ddn400" localSheetId="0">#REF!</definedName>
    <definedName name="__ddn400" localSheetId="1">#REF!</definedName>
    <definedName name="__ddn400">#REF!</definedName>
    <definedName name="__ddn600" localSheetId="0">#REF!</definedName>
    <definedName name="__ddn600" localSheetId="1">#REF!</definedName>
    <definedName name="__ddn600">#REF!</definedName>
    <definedName name="__hom2" localSheetId="0">#REF!</definedName>
    <definedName name="__hom2" localSheetId="1">#REF!</definedName>
    <definedName name="__hom2">#REF!</definedName>
    <definedName name="__lap1" localSheetId="0">#REF!</definedName>
    <definedName name="__lap1" localSheetId="1">#REF!</definedName>
    <definedName name="__lap1">#REF!</definedName>
    <definedName name="__lap2" localSheetId="0">#REF!</definedName>
    <definedName name="__lap2" localSheetId="1">#REF!</definedName>
    <definedName name="__lap2">#REF!</definedName>
    <definedName name="__MAC12" localSheetId="0">#REF!</definedName>
    <definedName name="__MAC12" localSheetId="1">#REF!</definedName>
    <definedName name="__MAC12">#REF!</definedName>
    <definedName name="__MAC46" localSheetId="0">#REF!</definedName>
    <definedName name="__MAC46" localSheetId="1">#REF!</definedName>
    <definedName name="__MAC46">#REF!</definedName>
    <definedName name="__NCL100" localSheetId="0">#REF!</definedName>
    <definedName name="__NCL100" localSheetId="1">#REF!</definedName>
    <definedName name="__NCL100">#REF!</definedName>
    <definedName name="__NCL200" localSheetId="0">#REF!</definedName>
    <definedName name="__NCL200" localSheetId="1">#REF!</definedName>
    <definedName name="__NCL200">#REF!</definedName>
    <definedName name="__NCL250" localSheetId="0">#REF!</definedName>
    <definedName name="__NCL250" localSheetId="1">#REF!</definedName>
    <definedName name="__NCL250">#REF!</definedName>
    <definedName name="__NET2" localSheetId="0">#REF!</definedName>
    <definedName name="__NET2" localSheetId="1">#REF!</definedName>
    <definedName name="__NET2">#REF!</definedName>
    <definedName name="__nin190" localSheetId="0">#REF!</definedName>
    <definedName name="__nin190" localSheetId="1">#REF!</definedName>
    <definedName name="__nin190">#REF!</definedName>
    <definedName name="__Sat27" localSheetId="0">#REF!</definedName>
    <definedName name="__Sat27" localSheetId="1">#REF!</definedName>
    <definedName name="__Sat27">#REF!</definedName>
    <definedName name="__Sat6" localSheetId="0">#REF!</definedName>
    <definedName name="__Sat6" localSheetId="1">#REF!</definedName>
    <definedName name="__Sat6">#REF!</definedName>
    <definedName name="__sat8" localSheetId="0">#REF!</definedName>
    <definedName name="__sat8" localSheetId="1">#REF!</definedName>
    <definedName name="__sat8">#REF!</definedName>
    <definedName name="__sc1" localSheetId="0">#REF!</definedName>
    <definedName name="__sc1" localSheetId="1">#REF!</definedName>
    <definedName name="__sc1">#REF!</definedName>
    <definedName name="__SC2" localSheetId="0">#REF!</definedName>
    <definedName name="__SC2" localSheetId="1">#REF!</definedName>
    <definedName name="__SC2">#REF!</definedName>
    <definedName name="__sc3" localSheetId="0">#REF!</definedName>
    <definedName name="__sc3" localSheetId="1">#REF!</definedName>
    <definedName name="__sc3">#REF!</definedName>
    <definedName name="__sg5" localSheetId="0">#REF!</definedName>
    <definedName name="__sg5" localSheetId="1">#REF!</definedName>
    <definedName name="__sg5">#REF!</definedName>
    <definedName name="__SN3" localSheetId="0">#REF!</definedName>
    <definedName name="__SN3" localSheetId="1">#REF!</definedName>
    <definedName name="__SN3">#REF!</definedName>
    <definedName name="__sua20" localSheetId="0">#REF!</definedName>
    <definedName name="__sua20" localSheetId="1">#REF!</definedName>
    <definedName name="__sua20">#REF!</definedName>
    <definedName name="__sua30" localSheetId="0">#REF!</definedName>
    <definedName name="__sua30" localSheetId="1">#REF!</definedName>
    <definedName name="__sua30">#REF!</definedName>
    <definedName name="__t1">{"Thuxm2.xls","Sheet1"}</definedName>
    <definedName name="__TL1" localSheetId="0">#REF!</definedName>
    <definedName name="__TL1" localSheetId="1">#REF!</definedName>
    <definedName name="__TL1">#REF!</definedName>
    <definedName name="__TL2" localSheetId="0">#REF!</definedName>
    <definedName name="__TL2" localSheetId="1">#REF!</definedName>
    <definedName name="__TL2">#REF!</definedName>
    <definedName name="__TL3" localSheetId="0">#REF!</definedName>
    <definedName name="__TL3" localSheetId="1">#REF!</definedName>
    <definedName name="__TL3">#REF!</definedName>
    <definedName name="__TLA120" localSheetId="0">#REF!</definedName>
    <definedName name="__TLA120" localSheetId="1">#REF!</definedName>
    <definedName name="__TLA120">#REF!</definedName>
    <definedName name="__TLA35" localSheetId="0">#REF!</definedName>
    <definedName name="__TLA35" localSheetId="1">#REF!</definedName>
    <definedName name="__TLA35">#REF!</definedName>
    <definedName name="__TLA50" localSheetId="0">#REF!</definedName>
    <definedName name="__TLA50" localSheetId="1">#REF!</definedName>
    <definedName name="__TLA50">#REF!</definedName>
    <definedName name="__TLA70" localSheetId="0">#REF!</definedName>
    <definedName name="__TLA70" localSheetId="1">#REF!</definedName>
    <definedName name="__TLA70">#REF!</definedName>
    <definedName name="__TLA95" localSheetId="0">#REF!</definedName>
    <definedName name="__TLA95" localSheetId="1">#REF!</definedName>
    <definedName name="__TLA95">#REF!</definedName>
    <definedName name="__tz593" localSheetId="0">#REF!</definedName>
    <definedName name="__tz593" localSheetId="1">#REF!</definedName>
    <definedName name="__tz593">#REF!</definedName>
    <definedName name="__VL100" localSheetId="0">#REF!</definedName>
    <definedName name="__VL100" localSheetId="1">#REF!</definedName>
    <definedName name="__VL100">#REF!</definedName>
    <definedName name="__VL200" localSheetId="0">#REF!</definedName>
    <definedName name="__VL200" localSheetId="1">#REF!</definedName>
    <definedName name="__VL200">#REF!</definedName>
    <definedName name="__VL250" localSheetId="0">#REF!</definedName>
    <definedName name="__VL250" localSheetId="1">#REF!</definedName>
    <definedName name="__VL250">#REF!</definedName>
    <definedName name="_1">#N/A</definedName>
    <definedName name="_1000A01">#N/A</definedName>
    <definedName name="_2">#N/A</definedName>
    <definedName name="_40x4">5100</definedName>
    <definedName name="_b1">{"Thuxm2.xls","Sheet1"}</definedName>
    <definedName name="_CON1" localSheetId="0">#REF!</definedName>
    <definedName name="_CON1" localSheetId="1">#REF!</definedName>
    <definedName name="_CON1">#REF!</definedName>
    <definedName name="_CON2" localSheetId="0">#REF!</definedName>
    <definedName name="_CON2" localSheetId="1">#REF!</definedName>
    <definedName name="_CON2">#REF!</definedName>
    <definedName name="_ddn400" localSheetId="0">#REF!</definedName>
    <definedName name="_ddn400" localSheetId="1">#REF!</definedName>
    <definedName name="_ddn400">#REF!</definedName>
    <definedName name="_ddn600" localSheetId="0">#REF!</definedName>
    <definedName name="_ddn600" localSheetId="1">#REF!</definedName>
    <definedName name="_ddn600">#REF!</definedName>
    <definedName name="_Fill" localSheetId="0" hidden="1">#REF!</definedName>
    <definedName name="_Fill" localSheetId="1" hidden="1">#REF!</definedName>
    <definedName name="_Fill" hidden="1">#REF!</definedName>
    <definedName name="_xlnm._FilterDatabase" localSheetId="0" hidden="1">'10a'!$A$7:$K$82</definedName>
    <definedName name="_xlnm._FilterDatabase" localSheetId="1" hidden="1">'10b'!$A$6:$J$66</definedName>
    <definedName name="_xlnm._FilterDatabase" hidden="1">#REF!</definedName>
    <definedName name="_hom2" localSheetId="0">#REF!</definedName>
    <definedName name="_hom2" localSheetId="1">#REF!</definedName>
    <definedName name="_hom2">#REF!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lap1" localSheetId="0">#REF!</definedName>
    <definedName name="_lap1" localSheetId="1">#REF!</definedName>
    <definedName name="_lap1">#REF!</definedName>
    <definedName name="_lap2" localSheetId="0">#REF!</definedName>
    <definedName name="_lap2" localSheetId="1">#REF!</definedName>
    <definedName name="_lap2">#REF!</definedName>
    <definedName name="_MAC12" localSheetId="0">#REF!</definedName>
    <definedName name="_MAC12" localSheetId="1">#REF!</definedName>
    <definedName name="_MAC12">#REF!</definedName>
    <definedName name="_MAC46" localSheetId="0">#REF!</definedName>
    <definedName name="_MAC46" localSheetId="1">#REF!</definedName>
    <definedName name="_MAC46">#REF!</definedName>
    <definedName name="_NCL100" localSheetId="0">#REF!</definedName>
    <definedName name="_NCL100" localSheetId="1">#REF!</definedName>
    <definedName name="_NCL100">#REF!</definedName>
    <definedName name="_NCL200" localSheetId="0">#REF!</definedName>
    <definedName name="_NCL200" localSheetId="1">#REF!</definedName>
    <definedName name="_NCL200">#REF!</definedName>
    <definedName name="_NCL250" localSheetId="0">#REF!</definedName>
    <definedName name="_NCL250" localSheetId="1">#REF!</definedName>
    <definedName name="_NCL250">#REF!</definedName>
    <definedName name="_NET2" localSheetId="0">#REF!</definedName>
    <definedName name="_NET2" localSheetId="1">#REF!</definedName>
    <definedName name="_NET2">#REF!</definedName>
    <definedName name="_nin190" localSheetId="0">#REF!</definedName>
    <definedName name="_nin190" localSheetId="1">#REF!</definedName>
    <definedName name="_nin190">#REF!</definedName>
    <definedName name="_Order1" hidden="1">255</definedName>
    <definedName name="_Order2" hidden="1">255</definedName>
    <definedName name="_Sat27" localSheetId="0">#REF!</definedName>
    <definedName name="_Sat27" localSheetId="1">#REF!</definedName>
    <definedName name="_Sat27">#REF!</definedName>
    <definedName name="_Sat6" localSheetId="0">#REF!</definedName>
    <definedName name="_Sat6" localSheetId="1">#REF!</definedName>
    <definedName name="_Sat6">#REF!</definedName>
    <definedName name="_sat8" localSheetId="0">#REF!</definedName>
    <definedName name="_sat8" localSheetId="1">#REF!</definedName>
    <definedName name="_sat8">#REF!</definedName>
    <definedName name="_sc1" localSheetId="0">#REF!</definedName>
    <definedName name="_sc1" localSheetId="1">#REF!</definedName>
    <definedName name="_sc1">#REF!</definedName>
    <definedName name="_SC2" localSheetId="0">#REF!</definedName>
    <definedName name="_SC2" localSheetId="1">#REF!</definedName>
    <definedName name="_SC2">#REF!</definedName>
    <definedName name="_sc3" localSheetId="0">#REF!</definedName>
    <definedName name="_sc3" localSheetId="1">#REF!</definedName>
    <definedName name="_sc3">#REF!</definedName>
    <definedName name="_sg5" localSheetId="0">#REF!</definedName>
    <definedName name="_sg5" localSheetId="1">#REF!</definedName>
    <definedName name="_sg5">#REF!</definedName>
    <definedName name="_SN3" localSheetId="0">#REF!</definedName>
    <definedName name="_SN3" localSheetId="1">#REF!</definedName>
    <definedName name="_SN3">#REF!</definedName>
    <definedName name="_Sort" localSheetId="0" hidden="1">#REF!</definedName>
    <definedName name="_Sort" localSheetId="1" hidden="1">#REF!</definedName>
    <definedName name="_Sort" hidden="1">#REF!</definedName>
    <definedName name="_sua20" localSheetId="0">#REF!</definedName>
    <definedName name="_sua20" localSheetId="1">#REF!</definedName>
    <definedName name="_sua20">#REF!</definedName>
    <definedName name="_sua30" localSheetId="0">#REF!</definedName>
    <definedName name="_sua30" localSheetId="1">#REF!</definedName>
    <definedName name="_sua30">#REF!</definedName>
    <definedName name="_t1">{"Thuxm2.xls","Sheet1"}</definedName>
    <definedName name="_TL1" localSheetId="0">#REF!</definedName>
    <definedName name="_TL1" localSheetId="1">#REF!</definedName>
    <definedName name="_TL1">#REF!</definedName>
    <definedName name="_TL2" localSheetId="0">#REF!</definedName>
    <definedName name="_TL2" localSheetId="1">#REF!</definedName>
    <definedName name="_TL2">#REF!</definedName>
    <definedName name="_TL3" localSheetId="0">#REF!</definedName>
    <definedName name="_TL3" localSheetId="1">#REF!</definedName>
    <definedName name="_TL3">#REF!</definedName>
    <definedName name="_TLA120" localSheetId="0">#REF!</definedName>
    <definedName name="_TLA120" localSheetId="1">#REF!</definedName>
    <definedName name="_TLA120">#REF!</definedName>
    <definedName name="_TLA35" localSheetId="0">#REF!</definedName>
    <definedName name="_TLA35" localSheetId="1">#REF!</definedName>
    <definedName name="_TLA35">#REF!</definedName>
    <definedName name="_TLA50" localSheetId="0">#REF!</definedName>
    <definedName name="_TLA50" localSheetId="1">#REF!</definedName>
    <definedName name="_TLA50">#REF!</definedName>
    <definedName name="_TLA70" localSheetId="0">#REF!</definedName>
    <definedName name="_TLA70" localSheetId="1">#REF!</definedName>
    <definedName name="_TLA70">#REF!</definedName>
    <definedName name="_TLA95" localSheetId="0">#REF!</definedName>
    <definedName name="_TLA95" localSheetId="1">#REF!</definedName>
    <definedName name="_TLA95">#REF!</definedName>
    <definedName name="_tz593" localSheetId="0">#REF!</definedName>
    <definedName name="_tz593" localSheetId="1">#REF!</definedName>
    <definedName name="_tz593">#REF!</definedName>
    <definedName name="_VL100" localSheetId="0">#REF!</definedName>
    <definedName name="_VL100" localSheetId="1">#REF!</definedName>
    <definedName name="_VL100">#REF!</definedName>
    <definedName name="_VL200" localSheetId="0">#REF!</definedName>
    <definedName name="_VL200" localSheetId="1">#REF!</definedName>
    <definedName name="_VL200">#REF!</definedName>
    <definedName name="_VL250" localSheetId="0">#REF!</definedName>
    <definedName name="_VL250" localSheetId="1">#REF!</definedName>
    <definedName name="_VL250">#REF!</definedName>
    <definedName name="A" localSheetId="0">#REF!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0">#REF!</definedName>
    <definedName name="A120_" localSheetId="1">#REF!</definedName>
    <definedName name="A120_">#REF!</definedName>
    <definedName name="a277Print_Titles" localSheetId="0">#REF!</definedName>
    <definedName name="a277Print_Titles" localSheetId="1">#REF!</definedName>
    <definedName name="a277Print_Titles">#REF!</definedName>
    <definedName name="A35_" localSheetId="0">#REF!</definedName>
    <definedName name="A35_" localSheetId="1">#REF!</definedName>
    <definedName name="A35_">#REF!</definedName>
    <definedName name="A50_" localSheetId="0">#REF!</definedName>
    <definedName name="A50_" localSheetId="1">#REF!</definedName>
    <definedName name="A50_">#REF!</definedName>
    <definedName name="A70_" localSheetId="0">#REF!</definedName>
    <definedName name="A70_" localSheetId="1">#REF!</definedName>
    <definedName name="A70_">#REF!</definedName>
    <definedName name="A95_" localSheetId="0">#REF!</definedName>
    <definedName name="A95_" localSheetId="1">#REF!</definedName>
    <definedName name="A95_">#REF!</definedName>
    <definedName name="AA" localSheetId="0">#REF!</definedName>
    <definedName name="AA" localSheetId="1">#REF!</definedName>
    <definedName name="AA">#REF!</definedName>
    <definedName name="aa_bb" localSheetId="0">#REF!</definedName>
    <definedName name="aa_bb" localSheetId="1">#REF!</definedName>
    <definedName name="aa_bb">#REF!</definedName>
    <definedName name="AAAAA" localSheetId="0">#REF!</definedName>
    <definedName name="AAAAA" localSheetId="1">#REF!</definedName>
    <definedName name="AAAAA">#REF!</definedName>
    <definedName name="AC120_" localSheetId="0">#REF!</definedName>
    <definedName name="AC120_" localSheetId="1">#REF!</definedName>
    <definedName name="AC120_">#REF!</definedName>
    <definedName name="AC35_" localSheetId="0">#REF!</definedName>
    <definedName name="AC35_" localSheetId="1">#REF!</definedName>
    <definedName name="AC35_">#REF!</definedName>
    <definedName name="AC50_" localSheetId="0">#REF!</definedName>
    <definedName name="AC50_" localSheetId="1">#REF!</definedName>
    <definedName name="AC50_">#REF!</definedName>
    <definedName name="AC70_" localSheetId="0">#REF!</definedName>
    <definedName name="AC70_" localSheetId="1">#REF!</definedName>
    <definedName name="AC70_">#REF!</definedName>
    <definedName name="AC95_" localSheetId="0">#REF!</definedName>
    <definedName name="AC95_" localSheetId="1">#REF!</definedName>
    <definedName name="AC95_">#REF!</definedName>
    <definedName name="aCOUNT">'[1]data10a-count'!$A:$B</definedName>
    <definedName name="aCOUNT.">'[1]data10a-count'!$A:$A</definedName>
    <definedName name="ag15F80" localSheetId="0">#REF!</definedName>
    <definedName name="ag15F80" localSheetId="1">#REF!</definedName>
    <definedName name="ag15F80">#REF!</definedName>
    <definedName name="All_Item" localSheetId="0">#REF!</definedName>
    <definedName name="All_Item" localSheetId="1">#REF!</definedName>
    <definedName name="All_Item">#REF!</definedName>
    <definedName name="ALPIN">#N/A</definedName>
    <definedName name="ALPJYOU">#N/A</definedName>
    <definedName name="ALPTOI">#N/A</definedName>
    <definedName name="asd" localSheetId="0">#REF!</definedName>
    <definedName name="asd" localSheetId="1">#REF!</definedName>
    <definedName name="asd">#REF!</definedName>
    <definedName name="aSUM">'[1]data10a-sum'!$A:$B</definedName>
    <definedName name="aSUM.">'[1]data10a-sum'!$A:$A</definedName>
    <definedName name="B_Isc" localSheetId="0">#REF!</definedName>
    <definedName name="B_Isc" localSheetId="1">#REF!</definedName>
    <definedName name="B_Isc">#REF!</definedName>
    <definedName name="B10aCH" localSheetId="0">#REF!</definedName>
    <definedName name="B10aCH" localSheetId="1">#REF!</definedName>
    <definedName name="B10aCH">#REF!</definedName>
    <definedName name="Bacgiang" localSheetId="0">#REF!</definedName>
    <definedName name="Bacgiang" localSheetId="1">#REF!</definedName>
    <definedName name="Bacgiang">#REF!</definedName>
    <definedName name="Bacninh" localSheetId="0">#REF!</definedName>
    <definedName name="Bacninh" localSheetId="1">#REF!</definedName>
    <definedName name="Bacninh">#REF!</definedName>
    <definedName name="BacTBo" localSheetId="0">#REF!</definedName>
    <definedName name="BacTBo" localSheetId="1">#REF!</definedName>
    <definedName name="BacTBo">#REF!</definedName>
    <definedName name="BANG_CHI_TIET_THI_NGHIEM_CONG_TO" localSheetId="0">#REF!</definedName>
    <definedName name="BANG_CHI_TIET_THI_NGHIEM_CONG_TO" localSheetId="1">#REF!</definedName>
    <definedName name="BANG_CHI_TIET_THI_NGHIEM_CONG_TO">#REF!</definedName>
    <definedName name="BANG_CHI_TIET_THI_NGHIEM_DZ0.4KV" localSheetId="0">#REF!</definedName>
    <definedName name="BANG_CHI_TIET_THI_NGHIEM_DZ0.4KV" localSheetId="1">#REF!</definedName>
    <definedName name="BANG_CHI_TIET_THI_NGHIEM_DZ0.4KV">#REF!</definedName>
    <definedName name="bang_gia" localSheetId="0">#REF!</definedName>
    <definedName name="bang_gia" localSheetId="1">#REF!</definedName>
    <definedName name="bang_gia">#REF!</definedName>
    <definedName name="BANG_TONG_HOP_CONG_TO" localSheetId="0">#REF!</definedName>
    <definedName name="BANG_TONG_HOP_CONG_TO" localSheetId="1">#REF!</definedName>
    <definedName name="BANG_TONG_HOP_CONG_TO">#REF!</definedName>
    <definedName name="BANG_TONG_HOP_DZ0.4KV" localSheetId="0">#REF!</definedName>
    <definedName name="BANG_TONG_HOP_DZ0.4KV" localSheetId="1">#REF!</definedName>
    <definedName name="BANG_TONG_HOP_DZ0.4KV">#REF!</definedName>
    <definedName name="BANG_TONG_HOP_DZ22KV" localSheetId="0">#REF!</definedName>
    <definedName name="BANG_TONG_HOP_DZ22KV" localSheetId="1">#REF!</definedName>
    <definedName name="BANG_TONG_HOP_DZ22KV">#REF!</definedName>
    <definedName name="BANG_TONG_HOP_KHO_BAI" localSheetId="0">#REF!</definedName>
    <definedName name="BANG_TONG_HOP_KHO_BAI" localSheetId="1">#REF!</definedName>
    <definedName name="BANG_TONG_HOP_KHO_BAI">#REF!</definedName>
    <definedName name="BANG_TONG_HOP_TBA" localSheetId="0">#REF!</definedName>
    <definedName name="BANG_TONG_HOP_TBA" localSheetId="1">#REF!</definedName>
    <definedName name="BANG_TONG_HOP_TBA">#REF!</definedName>
    <definedName name="BarData" localSheetId="0">#REF!</definedName>
    <definedName name="BarData" localSheetId="1">#REF!</definedName>
    <definedName name="BarData">#REF!</definedName>
    <definedName name="BB" localSheetId="0">#REF!</definedName>
    <definedName name="BB" localSheetId="1">#REF!</definedName>
    <definedName name="BB">#REF!</definedName>
    <definedName name="bc" localSheetId="0">#REF!</definedName>
    <definedName name="bc" localSheetId="1">#REF!</definedName>
    <definedName name="bc">#REF!</definedName>
    <definedName name="bCOUNT">'[1]data10b-count'!$A:$B</definedName>
    <definedName name="bCOUNT.">'[1]data10b-count'!$A:$A</definedName>
    <definedName name="beta">20</definedName>
    <definedName name="Bgiang" hidden="1">{"'Sheet1'!$L$16"}</definedName>
    <definedName name="bia" localSheetId="0">#REF!</definedName>
    <definedName name="bia" localSheetId="1">#REF!</definedName>
    <definedName name="bia">#REF!</definedName>
    <definedName name="Binhduong" localSheetId="0">#REF!</definedName>
    <definedName name="Binhduong" localSheetId="1">#REF!</definedName>
    <definedName name="Binhduong">#REF!</definedName>
    <definedName name="Binhphuoc" localSheetId="0">#REF!</definedName>
    <definedName name="Binhphuoc" localSheetId="1">#REF!</definedName>
    <definedName name="Binhphuoc">#REF!</definedName>
    <definedName name="bLUAcount">[1]data10bLUAcount!$A:$B</definedName>
    <definedName name="bLUAcount.">[1]data10bLUAcount!$A:$A</definedName>
    <definedName name="bLUAsum">[1]data10bLUAsum!$A:$B</definedName>
    <definedName name="bLUAsum.">[1]data10bLUAsum!$A:$A</definedName>
    <definedName name="Book2" localSheetId="0">#REF!</definedName>
    <definedName name="Book2" localSheetId="1">#REF!</definedName>
    <definedName name="Book2">#REF!</definedName>
    <definedName name="BOQ" localSheetId="0">#REF!</definedName>
    <definedName name="BOQ" localSheetId="1">#REF!</definedName>
    <definedName name="BOQ">#REF!</definedName>
    <definedName name="bRDDcount">[1]data10bRDDcount!$A:$B</definedName>
    <definedName name="bRDDcount.">[1]data10bRDDcount!$A:$A</definedName>
    <definedName name="bRDDsum">[1]data10bRDDsum!$A:$B</definedName>
    <definedName name="bRDDsum.">[1]data10bRDDsum!$A:$A</definedName>
    <definedName name="bRPHcount">[1]data10bRPHcount!$A:$B</definedName>
    <definedName name="bRPHcount.">[1]data10bRPHcount!$A:$A</definedName>
    <definedName name="bRPHsum">[1]data10bRPHsum!$A:$B</definedName>
    <definedName name="bRPHsum.">[1]data10bRPHsum!$A:$A</definedName>
    <definedName name="bSUM">'[1]data10b-sum'!$A:$B</definedName>
    <definedName name="bSUM.">'[1]data10b-sum'!$A:$A</definedName>
    <definedName name="BT" localSheetId="0">#REF!</definedName>
    <definedName name="BT" localSheetId="1">#REF!</definedName>
    <definedName name="BT">#REF!</definedName>
    <definedName name="BTBo" localSheetId="0">#REF!</definedName>
    <definedName name="BTBo" localSheetId="1">#REF!</definedName>
    <definedName name="BTBo">#REF!</definedName>
    <definedName name="BU_CHENH_LECH_DZ0.4KV" localSheetId="0">#REF!</definedName>
    <definedName name="BU_CHENH_LECH_DZ0.4KV" localSheetId="1">#REF!</definedName>
    <definedName name="BU_CHENH_LECH_DZ0.4KV">#REF!</definedName>
    <definedName name="BU_CHENH_LECH_DZ22KV" localSheetId="0">#REF!</definedName>
    <definedName name="BU_CHENH_LECH_DZ22KV" localSheetId="1">#REF!</definedName>
    <definedName name="BU_CHENH_LECH_DZ22KV">#REF!</definedName>
    <definedName name="BU_CHENH_LECH_TBA" localSheetId="0">#REF!</definedName>
    <definedName name="BU_CHENH_LECH_TBA" localSheetId="1">#REF!</definedName>
    <definedName name="BU_CHENH_LECH_TBA">#REF!</definedName>
    <definedName name="Bulongma">8700</definedName>
    <definedName name="buoc" localSheetId="0">#REF!</definedName>
    <definedName name="buoc" localSheetId="1">#REF!</definedName>
    <definedName name="buoc">#REF!</definedName>
    <definedName name="BVCISUMMARY" localSheetId="0">#REF!</definedName>
    <definedName name="BVCISUMMARY" localSheetId="1">#REF!</definedName>
    <definedName name="BVCISUMMARY">#REF!</definedName>
    <definedName name="C.1.1..Phat_tuyen" localSheetId="0">#REF!</definedName>
    <definedName name="C.1.1..Phat_tuyen" localSheetId="1">#REF!</definedName>
    <definedName name="C.1.1..Phat_tuyen">#REF!</definedName>
    <definedName name="C.1.10..VC_Thu_cong_CG" localSheetId="0">#REF!</definedName>
    <definedName name="C.1.10..VC_Thu_cong_CG" localSheetId="1">#REF!</definedName>
    <definedName name="C.1.10..VC_Thu_cong_CG">#REF!</definedName>
    <definedName name="C.1.2..Chat_cay_thu_cong" localSheetId="0">#REF!</definedName>
    <definedName name="C.1.2..Chat_cay_thu_cong" localSheetId="1">#REF!</definedName>
    <definedName name="C.1.2..Chat_cay_thu_cong">#REF!</definedName>
    <definedName name="C.1.3..Chat_cay_may" localSheetId="0">#REF!</definedName>
    <definedName name="C.1.3..Chat_cay_may" localSheetId="1">#REF!</definedName>
    <definedName name="C.1.3..Chat_cay_may">#REF!</definedName>
    <definedName name="C.1.4..Dao_goc_cay" localSheetId="0">#REF!</definedName>
    <definedName name="C.1.4..Dao_goc_cay" localSheetId="1">#REF!</definedName>
    <definedName name="C.1.4..Dao_goc_cay">#REF!</definedName>
    <definedName name="C.1.5..Lam_duong_tam" localSheetId="0">#REF!</definedName>
    <definedName name="C.1.5..Lam_duong_tam" localSheetId="1">#REF!</definedName>
    <definedName name="C.1.5..Lam_duong_tam">#REF!</definedName>
    <definedName name="C.1.6..Lam_cau_tam" localSheetId="0">#REF!</definedName>
    <definedName name="C.1.6..Lam_cau_tam" localSheetId="1">#REF!</definedName>
    <definedName name="C.1.6..Lam_cau_tam">#REF!</definedName>
    <definedName name="C.1.7..Rai_da_chong_lun" localSheetId="0">#REF!</definedName>
    <definedName name="C.1.7..Rai_da_chong_lun" localSheetId="1">#REF!</definedName>
    <definedName name="C.1.7..Rai_da_chong_lun">#REF!</definedName>
    <definedName name="C.1.8..Lam_kho_tam" localSheetId="0">#REF!</definedName>
    <definedName name="C.1.8..Lam_kho_tam" localSheetId="1">#REF!</definedName>
    <definedName name="C.1.8..Lam_kho_tam">#REF!</definedName>
    <definedName name="C.1.8..San_mat_bang" localSheetId="0">#REF!</definedName>
    <definedName name="C.1.8..San_mat_bang" localSheetId="1">#REF!</definedName>
    <definedName name="C.1.8..San_mat_bang">#REF!</definedName>
    <definedName name="C.2.1..VC_Thu_cong" localSheetId="0">#REF!</definedName>
    <definedName name="C.2.1..VC_Thu_cong" localSheetId="1">#REF!</definedName>
    <definedName name="C.2.1..VC_Thu_cong">#REF!</definedName>
    <definedName name="C.2.2..VC_T_cong_CG" localSheetId="0">#REF!</definedName>
    <definedName name="C.2.2..VC_T_cong_CG" localSheetId="1">#REF!</definedName>
    <definedName name="C.2.2..VC_T_cong_CG">#REF!</definedName>
    <definedName name="C.2.3..Boc_do" localSheetId="0">#REF!</definedName>
    <definedName name="C.2.3..Boc_do" localSheetId="1">#REF!</definedName>
    <definedName name="C.2.3..Boc_do">#REF!</definedName>
    <definedName name="C.3.1..Dao_dat_mong_cot" localSheetId="0">#REF!</definedName>
    <definedName name="C.3.1..Dao_dat_mong_cot" localSheetId="1">#REF!</definedName>
    <definedName name="C.3.1..Dao_dat_mong_cot">#REF!</definedName>
    <definedName name="C.3.2..Dao_dat_de_dap" localSheetId="0">#REF!</definedName>
    <definedName name="C.3.2..Dao_dat_de_dap" localSheetId="1">#REF!</definedName>
    <definedName name="C.3.2..Dao_dat_de_dap">#REF!</definedName>
    <definedName name="C.3.3..Dap_dat_mong" localSheetId="0">#REF!</definedName>
    <definedName name="C.3.3..Dap_dat_mong" localSheetId="1">#REF!</definedName>
    <definedName name="C.3.3..Dap_dat_mong">#REF!</definedName>
    <definedName name="C.3.4..Dao_dap_TDia" localSheetId="0">#REF!</definedName>
    <definedName name="C.3.4..Dao_dap_TDia" localSheetId="1">#REF!</definedName>
    <definedName name="C.3.4..Dao_dap_TDia">#REF!</definedName>
    <definedName name="C.3.5..Dap_bo_bao" localSheetId="0">#REF!</definedName>
    <definedName name="C.3.5..Dap_bo_bao" localSheetId="1">#REF!</definedName>
    <definedName name="C.3.5..Dap_bo_bao">#REF!</definedName>
    <definedName name="C.3.6..Bom_tat_nuoc" localSheetId="0">#REF!</definedName>
    <definedName name="C.3.6..Bom_tat_nuoc" localSheetId="1">#REF!</definedName>
    <definedName name="C.3.6..Bom_tat_nuoc">#REF!</definedName>
    <definedName name="C.3.7..Dao_bun" localSheetId="0">#REF!</definedName>
    <definedName name="C.3.7..Dao_bun" localSheetId="1">#REF!</definedName>
    <definedName name="C.3.7..Dao_bun">#REF!</definedName>
    <definedName name="C.3.8..Dap_cat_CT" localSheetId="0">#REF!</definedName>
    <definedName name="C.3.8..Dap_cat_CT" localSheetId="1">#REF!</definedName>
    <definedName name="C.3.8..Dap_cat_CT">#REF!</definedName>
    <definedName name="C.3.9..Dao_pha_da" localSheetId="0">#REF!</definedName>
    <definedName name="C.3.9..Dao_pha_da" localSheetId="1">#REF!</definedName>
    <definedName name="C.3.9..Dao_pha_da">#REF!</definedName>
    <definedName name="C.4.1.Cot_thep" localSheetId="0">#REF!</definedName>
    <definedName name="C.4.1.Cot_thep" localSheetId="1">#REF!</definedName>
    <definedName name="C.4.1.Cot_thep">#REF!</definedName>
    <definedName name="C.4.2..Van_khuon" localSheetId="0">#REF!</definedName>
    <definedName name="C.4.2..Van_khuon" localSheetId="1">#REF!</definedName>
    <definedName name="C.4.2..Van_khuon">#REF!</definedName>
    <definedName name="C.4.3..Be_tong" localSheetId="0">#REF!</definedName>
    <definedName name="C.4.3..Be_tong" localSheetId="1">#REF!</definedName>
    <definedName name="C.4.3..Be_tong">#REF!</definedName>
    <definedName name="C.4.4..Lap_BT_D.San" localSheetId="0">#REF!</definedName>
    <definedName name="C.4.4..Lap_BT_D.San" localSheetId="1">#REF!</definedName>
    <definedName name="C.4.4..Lap_BT_D.San">#REF!</definedName>
    <definedName name="C.4.5..Xay_da_hoc" localSheetId="0">#REF!</definedName>
    <definedName name="C.4.5..Xay_da_hoc" localSheetId="1">#REF!</definedName>
    <definedName name="C.4.5..Xay_da_hoc">#REF!</definedName>
    <definedName name="C.4.6..Dong_coc" localSheetId="0">#REF!</definedName>
    <definedName name="C.4.6..Dong_coc" localSheetId="1">#REF!</definedName>
    <definedName name="C.4.6..Dong_coc">#REF!</definedName>
    <definedName name="C.4.7..Quet_Bi_tum" localSheetId="0">#REF!</definedName>
    <definedName name="C.4.7..Quet_Bi_tum" localSheetId="1">#REF!</definedName>
    <definedName name="C.4.7..Quet_Bi_tum">#REF!</definedName>
    <definedName name="C.5.1..Lap_cot_thep" localSheetId="0">#REF!</definedName>
    <definedName name="C.5.1..Lap_cot_thep" localSheetId="1">#REF!</definedName>
    <definedName name="C.5.1..Lap_cot_thep">#REF!</definedName>
    <definedName name="C.5.2..Lap_cot_BT" localSheetId="0">#REF!</definedName>
    <definedName name="C.5.2..Lap_cot_BT" localSheetId="1">#REF!</definedName>
    <definedName name="C.5.2..Lap_cot_BT">#REF!</definedName>
    <definedName name="C.5.3..Lap_dat_xa" localSheetId="0">#REF!</definedName>
    <definedName name="C.5.3..Lap_dat_xa" localSheetId="1">#REF!</definedName>
    <definedName name="C.5.3..Lap_dat_xa">#REF!</definedName>
    <definedName name="C.5.4..Lap_tiep_dia" localSheetId="0">#REF!</definedName>
    <definedName name="C.5.4..Lap_tiep_dia" localSheetId="1">#REF!</definedName>
    <definedName name="C.5.4..Lap_tiep_dia">#REF!</definedName>
    <definedName name="C.5.5..Son_sat_thep" localSheetId="0">#REF!</definedName>
    <definedName name="C.5.5..Son_sat_thep" localSheetId="1">#REF!</definedName>
    <definedName name="C.5.5..Son_sat_thep">#REF!</definedName>
    <definedName name="C.6.1..Lap_su_dung" localSheetId="0">#REF!</definedName>
    <definedName name="C.6.1..Lap_su_dung" localSheetId="1">#REF!</definedName>
    <definedName name="C.6.1..Lap_su_dung">#REF!</definedName>
    <definedName name="C.6.2..Lap_su_CS" localSheetId="0">#REF!</definedName>
    <definedName name="C.6.2..Lap_su_CS" localSheetId="1">#REF!</definedName>
    <definedName name="C.6.2..Lap_su_CS">#REF!</definedName>
    <definedName name="C.6.3..Su_chuoi_do" localSheetId="0">#REF!</definedName>
    <definedName name="C.6.3..Su_chuoi_do" localSheetId="1">#REF!</definedName>
    <definedName name="C.6.3..Su_chuoi_do">#REF!</definedName>
    <definedName name="C.6.4..Su_chuoi_neo" localSheetId="0">#REF!</definedName>
    <definedName name="C.6.4..Su_chuoi_neo" localSheetId="1">#REF!</definedName>
    <definedName name="C.6.4..Su_chuoi_neo">#REF!</definedName>
    <definedName name="C.6.5..Lap_phu_kien" localSheetId="0">#REF!</definedName>
    <definedName name="C.6.5..Lap_phu_kien" localSheetId="1">#REF!</definedName>
    <definedName name="C.6.5..Lap_phu_kien">#REF!</definedName>
    <definedName name="C.6.6..Ep_noi_day" localSheetId="0">#REF!</definedName>
    <definedName name="C.6.6..Ep_noi_day" localSheetId="1">#REF!</definedName>
    <definedName name="C.6.6..Ep_noi_day">#REF!</definedName>
    <definedName name="C.6.7..KD_vuot_CN" localSheetId="0">#REF!</definedName>
    <definedName name="C.6.7..KD_vuot_CN" localSheetId="1">#REF!</definedName>
    <definedName name="C.6.7..KD_vuot_CN">#REF!</definedName>
    <definedName name="C.6.8..Rai_cang_day" localSheetId="0">#REF!</definedName>
    <definedName name="C.6.8..Rai_cang_day" localSheetId="1">#REF!</definedName>
    <definedName name="C.6.8..Rai_cang_day">#REF!</definedName>
    <definedName name="C.6.9..Cap_quang" localSheetId="0">#REF!</definedName>
    <definedName name="C.6.9..Cap_quang" localSheetId="1">#REF!</definedName>
    <definedName name="C.6.9..Cap_quang">#REF!</definedName>
    <definedName name="ca.1111" localSheetId="0">#REF!</definedName>
    <definedName name="ca.1111" localSheetId="1">#REF!</definedName>
    <definedName name="ca.1111">#REF!</definedName>
    <definedName name="ca.1111.th" localSheetId="0">#REF!</definedName>
    <definedName name="ca.1111.th" localSheetId="1">#REF!</definedName>
    <definedName name="ca.1111.th">#REF!</definedName>
    <definedName name="CACAU">298161</definedName>
    <definedName name="cap" localSheetId="0">#REF!</definedName>
    <definedName name="cap" localSheetId="1">#REF!</definedName>
    <definedName name="cap">#REF!</definedName>
    <definedName name="cap0.7" localSheetId="0">#REF!</definedName>
    <definedName name="cap0.7" localSheetId="1">#REF!</definedName>
    <definedName name="cap0.7">#REF!</definedName>
    <definedName name="Category_All" localSheetId="0">#REF!</definedName>
    <definedName name="Category_All" localSheetId="1">#REF!</definedName>
    <definedName name="Category_All">#REF!</definedName>
    <definedName name="CATIN">#N/A</definedName>
    <definedName name="CATJYOU">#N/A</definedName>
    <definedName name="CATREC">#N/A</definedName>
    <definedName name="CATSYU">#N/A</definedName>
    <definedName name="cc" localSheetId="0">#REF!</definedName>
    <definedName name="cc" localSheetId="1">#REF!</definedName>
    <definedName name="cc">#REF!</definedName>
    <definedName name="CCS" localSheetId="0">#REF!</definedName>
    <definedName name="CCS" localSheetId="1">#REF!</definedName>
    <definedName name="CCS">#REF!</definedName>
    <definedName name="CDD" localSheetId="0">#REF!</definedName>
    <definedName name="CDD" localSheetId="1">#REF!</definedName>
    <definedName name="CDD">#REF!</definedName>
    <definedName name="cfk" localSheetId="0">#REF!</definedName>
    <definedName name="cfk" localSheetId="1">#REF!</definedName>
    <definedName name="cfk">#REF!</definedName>
    <definedName name="CH" localSheetId="0">#REF!</definedName>
    <definedName name="CH" localSheetId="1">#REF!</definedName>
    <definedName name="CH">#REF!</definedName>
    <definedName name="CK" localSheetId="0">#REF!</definedName>
    <definedName name="CK" localSheetId="1">#REF!</definedName>
    <definedName name="CK">#REF!</definedName>
    <definedName name="CL" localSheetId="0">#REF!</definedName>
    <definedName name="CL" localSheetId="1">#REF!</definedName>
    <definedName name="CL">#REF!</definedName>
    <definedName name="CLECH_0.4" localSheetId="0">#REF!</definedName>
    <definedName name="CLECH_0.4" localSheetId="1">#REF!</definedName>
    <definedName name="CLECH_0.4">#REF!</definedName>
    <definedName name="cLUAcount">[1]data10cLUAcount!$A:$B</definedName>
    <definedName name="cLUAcount.">[1]data10cLUAcount!$A:$A</definedName>
    <definedName name="cLUAsum">[1]data10cLUAsum!$A:$B</definedName>
    <definedName name="cLUAsum.">[1]data10cLUAsum!$A:$A</definedName>
    <definedName name="CLVC3">0.1</definedName>
    <definedName name="CLVCTB" localSheetId="0">#REF!</definedName>
    <definedName name="CLVCTB" localSheetId="1">#REF!</definedName>
    <definedName name="CLVCTB">#REF!</definedName>
    <definedName name="clvl" localSheetId="0">#REF!</definedName>
    <definedName name="clvl" localSheetId="1">#REF!</definedName>
    <definedName name="clvl">#REF!</definedName>
    <definedName name="Co" localSheetId="0">#REF!</definedName>
    <definedName name="Co" localSheetId="1">#REF!</definedName>
    <definedName name="Co">#REF!</definedName>
    <definedName name="Cöï_ly_vaän_chuyeãn" localSheetId="0">#REF!</definedName>
    <definedName name="Cöï_ly_vaän_chuyeãn" localSheetId="1">#REF!</definedName>
    <definedName name="Cöï_ly_vaän_chuyeãn">#REF!</definedName>
    <definedName name="CÖÏ_LY_VAÄN_CHUYEÅN" localSheetId="0">#REF!</definedName>
    <definedName name="CÖÏ_LY_VAÄN_CHUYEÅN" localSheetId="1">#REF!</definedName>
    <definedName name="CÖÏ_LY_VAÄN_CHUYEÅN">#REF!</definedName>
    <definedName name="COMMON" localSheetId="0">#REF!</definedName>
    <definedName name="COMMON" localSheetId="1">#REF!</definedName>
    <definedName name="COMMON">#REF!</definedName>
    <definedName name="CON_EQP_COS" localSheetId="0">#REF!</definedName>
    <definedName name="CON_EQP_COS" localSheetId="1">#REF!</definedName>
    <definedName name="CON_EQP_COS">#REF!</definedName>
    <definedName name="CON_EQP_COST" localSheetId="0">#REF!</definedName>
    <definedName name="CON_EQP_COST" localSheetId="1">#REF!</definedName>
    <definedName name="CON_EQP_COST">#REF!</definedName>
    <definedName name="Cong_HM_DTCT" localSheetId="0">#REF!</definedName>
    <definedName name="Cong_HM_DTCT" localSheetId="1">#REF!</definedName>
    <definedName name="Cong_HM_DTCT">#REF!</definedName>
    <definedName name="Cong_M_DTCT" localSheetId="0">#REF!</definedName>
    <definedName name="Cong_M_DTCT" localSheetId="1">#REF!</definedName>
    <definedName name="Cong_M_DTCT">#REF!</definedName>
    <definedName name="Cong_NC_DTCT" localSheetId="0">#REF!</definedName>
    <definedName name="Cong_NC_DTCT" localSheetId="1">#REF!</definedName>
    <definedName name="Cong_NC_DTCT">#REF!</definedName>
    <definedName name="Cong_VL_DTCT" localSheetId="0">#REF!</definedName>
    <definedName name="Cong_VL_DTCT" localSheetId="1">#REF!</definedName>
    <definedName name="Cong_VL_DTCT">#REF!</definedName>
    <definedName name="CONST_EQ" localSheetId="0">#REF!</definedName>
    <definedName name="CONST_EQ" localSheetId="1">#REF!</definedName>
    <definedName name="CONST_EQ">#REF!</definedName>
    <definedName name="cot7.5" localSheetId="0">#REF!</definedName>
    <definedName name="cot7.5" localSheetId="1">#REF!</definedName>
    <definedName name="cot7.5">#REF!</definedName>
    <definedName name="cot8.5" localSheetId="0">#REF!</definedName>
    <definedName name="cot8.5" localSheetId="1">#REF!</definedName>
    <definedName name="cot8.5">#REF!</definedName>
    <definedName name="Cotsatma">9726</definedName>
    <definedName name="Cotthepma">9726</definedName>
    <definedName name="COVER" localSheetId="0">#REF!</definedName>
    <definedName name="COVER" localSheetId="1">#REF!</definedName>
    <definedName name="COVER">#REF!</definedName>
    <definedName name="CPC" localSheetId="0">#REF!</definedName>
    <definedName name="CPC" localSheetId="1">#REF!</definedName>
    <definedName name="CPC">#REF!</definedName>
    <definedName name="cpmtc" localSheetId="0">#REF!</definedName>
    <definedName name="cpmtc" localSheetId="1">#REF!</definedName>
    <definedName name="cpmtc">#REF!</definedName>
    <definedName name="cpnc" localSheetId="0">#REF!</definedName>
    <definedName name="cpnc" localSheetId="1">#REF!</definedName>
    <definedName name="cpnc">#REF!</definedName>
    <definedName name="cptt" localSheetId="0">#REF!</definedName>
    <definedName name="cptt" localSheetId="1">#REF!</definedName>
    <definedName name="cptt">#REF!</definedName>
    <definedName name="CPVC100" localSheetId="0">#REF!</definedName>
    <definedName name="CPVC100" localSheetId="1">#REF!</definedName>
    <definedName name="CPVC100">#REF!</definedName>
    <definedName name="cpvl" localSheetId="0">#REF!</definedName>
    <definedName name="cpvl" localSheetId="1">#REF!</definedName>
    <definedName name="cpvl">#REF!</definedName>
    <definedName name="CRD" localSheetId="0">#REF!</definedName>
    <definedName name="CRD" localSheetId="1">#REF!</definedName>
    <definedName name="CRD">#REF!</definedName>
    <definedName name="cRDDcount">[1]data10cRDDcount!$A:$B</definedName>
    <definedName name="cRDDcount.">[1]data10cRDDcount!$A:$A</definedName>
    <definedName name="cRDDsum">[1]data10cRDDsum!$A:$B</definedName>
    <definedName name="cRDDsum.">[1]data10cRDDsum!$A:$A</definedName>
    <definedName name="CRITINST" localSheetId="0">#REF!</definedName>
    <definedName name="CRITINST" localSheetId="1">#REF!</definedName>
    <definedName name="CRITINST">#REF!</definedName>
    <definedName name="CRITPURC" localSheetId="0">#REF!</definedName>
    <definedName name="CRITPURC" localSheetId="1">#REF!</definedName>
    <definedName name="CRITPURC">#REF!</definedName>
    <definedName name="cRPHcount">[1]data10cRPHcount!$A:$B</definedName>
    <definedName name="cRPHcount.">[1]data10cRPHcount!$A:$A</definedName>
    <definedName name="cRPHsum">[1]data10cRPHsum!$A:$B</definedName>
    <definedName name="cRPHsum.">[1]data10cRPHsum!$A:$A</definedName>
    <definedName name="CRS" localSheetId="0">#REF!</definedName>
    <definedName name="CRS" localSheetId="1">#REF!</definedName>
    <definedName name="CRS">#REF!</definedName>
    <definedName name="CS" localSheetId="0">#REF!</definedName>
    <definedName name="CS" localSheetId="1">#REF!</definedName>
    <definedName name="CS">#REF!</definedName>
    <definedName name="CS_10" localSheetId="0">#REF!</definedName>
    <definedName name="CS_10" localSheetId="1">#REF!</definedName>
    <definedName name="CS_10">#REF!</definedName>
    <definedName name="CS_100" localSheetId="0">#REF!</definedName>
    <definedName name="CS_100" localSheetId="1">#REF!</definedName>
    <definedName name="CS_100">#REF!</definedName>
    <definedName name="CS_10S" localSheetId="0">#REF!</definedName>
    <definedName name="CS_10S" localSheetId="1">#REF!</definedName>
    <definedName name="CS_10S">#REF!</definedName>
    <definedName name="CS_120" localSheetId="0">#REF!</definedName>
    <definedName name="CS_120" localSheetId="1">#REF!</definedName>
    <definedName name="CS_120">#REF!</definedName>
    <definedName name="CS_140" localSheetId="0">#REF!</definedName>
    <definedName name="CS_140" localSheetId="1">#REF!</definedName>
    <definedName name="CS_140">#REF!</definedName>
    <definedName name="CS_160" localSheetId="0">#REF!</definedName>
    <definedName name="CS_160" localSheetId="1">#REF!</definedName>
    <definedName name="CS_160">#REF!</definedName>
    <definedName name="CS_20" localSheetId="0">#REF!</definedName>
    <definedName name="CS_20" localSheetId="1">#REF!</definedName>
    <definedName name="CS_20">#REF!</definedName>
    <definedName name="CS_30" localSheetId="0">#REF!</definedName>
    <definedName name="CS_30" localSheetId="1">#REF!</definedName>
    <definedName name="CS_30">#REF!</definedName>
    <definedName name="CS_40" localSheetId="0">#REF!</definedName>
    <definedName name="CS_40" localSheetId="1">#REF!</definedName>
    <definedName name="CS_40">#REF!</definedName>
    <definedName name="CS_40S" localSheetId="0">#REF!</definedName>
    <definedName name="CS_40S" localSheetId="1">#REF!</definedName>
    <definedName name="CS_40S">#REF!</definedName>
    <definedName name="CS_5S" localSheetId="0">#REF!</definedName>
    <definedName name="CS_5S" localSheetId="1">#REF!</definedName>
    <definedName name="CS_5S">#REF!</definedName>
    <definedName name="CS_60" localSheetId="0">#REF!</definedName>
    <definedName name="CS_60" localSheetId="1">#REF!</definedName>
    <definedName name="CS_60">#REF!</definedName>
    <definedName name="CS_80" localSheetId="0">#REF!</definedName>
    <definedName name="CS_80" localSheetId="1">#REF!</definedName>
    <definedName name="CS_80">#REF!</definedName>
    <definedName name="CS_80S" localSheetId="0">#REF!</definedName>
    <definedName name="CS_80S" localSheetId="1">#REF!</definedName>
    <definedName name="CS_80S">#REF!</definedName>
    <definedName name="CS_STD" localSheetId="0">#REF!</definedName>
    <definedName name="CS_STD" localSheetId="1">#REF!</definedName>
    <definedName name="CS_STD">#REF!</definedName>
    <definedName name="CS_XS" localSheetId="0">#REF!</definedName>
    <definedName name="CS_XS" localSheetId="1">#REF!</definedName>
    <definedName name="CS_XS">#REF!</definedName>
    <definedName name="CS_XXS" localSheetId="0">#REF!</definedName>
    <definedName name="CS_XXS" localSheetId="1">#REF!</definedName>
    <definedName name="CS_XXS">#REF!</definedName>
    <definedName name="csd3p" localSheetId="0">#REF!</definedName>
    <definedName name="csd3p" localSheetId="1">#REF!</definedName>
    <definedName name="csd3p">#REF!</definedName>
    <definedName name="csddg1p" localSheetId="0">#REF!</definedName>
    <definedName name="csddg1p" localSheetId="1">#REF!</definedName>
    <definedName name="csddg1p">#REF!</definedName>
    <definedName name="csddt1p" localSheetId="0">#REF!</definedName>
    <definedName name="csddt1p" localSheetId="1">#REF!</definedName>
    <definedName name="csddt1p">#REF!</definedName>
    <definedName name="csht3p" localSheetId="0">#REF!</definedName>
    <definedName name="csht3p" localSheetId="1">#REF!</definedName>
    <definedName name="csht3p">#REF!</definedName>
    <definedName name="ctdn9697" localSheetId="0">#REF!</definedName>
    <definedName name="ctdn9697" localSheetId="1">#REF!</definedName>
    <definedName name="ctdn9697">#REF!</definedName>
    <definedName name="ctiep" localSheetId="0">#REF!</definedName>
    <definedName name="ctiep" localSheetId="1">#REF!</definedName>
    <definedName name="ctiep">#REF!</definedName>
    <definedName name="CU_LY_VAN_CHUYEN_GIA_QUYEN" localSheetId="0">#REF!</definedName>
    <definedName name="CU_LY_VAN_CHUYEN_GIA_QUYEN" localSheetId="1">#REF!</definedName>
    <definedName name="CU_LY_VAN_CHUYEN_GIA_QUYEN">#REF!</definedName>
    <definedName name="CU_LY_VAN_CHUYEN_THU_CONG" localSheetId="0">#REF!</definedName>
    <definedName name="CU_LY_VAN_CHUYEN_THU_CONG" localSheetId="1">#REF!</definedName>
    <definedName name="CU_LY_VAN_CHUYEN_THU_CONG">#REF!</definedName>
    <definedName name="CURRENCY" localSheetId="0">#REF!</definedName>
    <definedName name="CURRENCY" localSheetId="1">#REF!</definedName>
    <definedName name="CURRENCY">#REF!</definedName>
    <definedName name="cvf" localSheetId="0">#REF!</definedName>
    <definedName name="cvf" localSheetId="1">#REF!</definedName>
    <definedName name="cvf">#REF!</definedName>
    <definedName name="cx" localSheetId="0">#REF!</definedName>
    <definedName name="cx" localSheetId="1">#REF!</definedName>
    <definedName name="cx">#REF!</definedName>
    <definedName name="d" localSheetId="0">#REF!</definedName>
    <definedName name="d" localSheetId="1">#REF!</definedName>
    <definedName name="d">#REF!</definedName>
    <definedName name="D_7101A_B" localSheetId="0">#REF!</definedName>
    <definedName name="D_7101A_B" localSheetId="1">#REF!</definedName>
    <definedName name="D_7101A_B">#REF!</definedName>
    <definedName name="data" localSheetId="0">#REF!</definedName>
    <definedName name="data" localSheetId="1">#REF!</definedName>
    <definedName name="data">#REF!</definedName>
    <definedName name="Data11" localSheetId="0">#REF!</definedName>
    <definedName name="Data11" localSheetId="1">#REF!</definedName>
    <definedName name="Data11">#REF!</definedName>
    <definedName name="Data41" localSheetId="0">#REF!</definedName>
    <definedName name="Data41" localSheetId="1">#REF!</definedName>
    <definedName name="Data41">#REF!</definedName>
    <definedName name="_xlnm.Database" localSheetId="0">#REF!</definedName>
    <definedName name="_xlnm.Database" localSheetId="1">#REF!</definedName>
    <definedName name="_xlnm.Database">#REF!</definedName>
    <definedName name="Dbbacbo" localSheetId="0">#REF!</definedName>
    <definedName name="Dbbacbo" localSheetId="1">#REF!</definedName>
    <definedName name="Dbbacbo">#REF!</definedName>
    <definedName name="DBBB" localSheetId="0">#REF!</definedName>
    <definedName name="DBBB" localSheetId="1">#REF!</definedName>
    <definedName name="DBBB">#REF!</definedName>
    <definedName name="DBSCL" localSheetId="0">#REF!</definedName>
    <definedName name="DBSCL" localSheetId="1">#REF!</definedName>
    <definedName name="DBSCL">#REF!</definedName>
    <definedName name="DCL_22">12117600</definedName>
    <definedName name="DCL_35">25490000</definedName>
    <definedName name="DD" localSheetId="0">#REF!</definedName>
    <definedName name="DD" localSheetId="1">#REF!</definedName>
    <definedName name="DD">#REF!</definedName>
    <definedName name="den_bu" localSheetId="0">#REF!</definedName>
    <definedName name="den_bu" localSheetId="1">#REF!</definedName>
    <definedName name="den_bu">#REF!</definedName>
    <definedName name="denbu" localSheetId="0">#REF!</definedName>
    <definedName name="denbu" localSheetId="1">#REF!</definedName>
    <definedName name="denbu">#REF!</definedName>
    <definedName name="df" localSheetId="0">#REF!</definedName>
    <definedName name="df" localSheetId="1">#REF!</definedName>
    <definedName name="df">#REF!</definedName>
    <definedName name="dgbdII" localSheetId="0">#REF!</definedName>
    <definedName name="dgbdII" localSheetId="1">#REF!</definedName>
    <definedName name="dgbdII">#REF!</definedName>
    <definedName name="DGCTI592" localSheetId="0">#REF!</definedName>
    <definedName name="DGCTI592" localSheetId="1">#REF!</definedName>
    <definedName name="DGCTI592">#REF!</definedName>
    <definedName name="dgnc" localSheetId="0">#REF!</definedName>
    <definedName name="dgnc" localSheetId="1">#REF!</definedName>
    <definedName name="dgnc">#REF!</definedName>
    <definedName name="dgqndn" localSheetId="0">#REF!</definedName>
    <definedName name="dgqndn" localSheetId="1">#REF!</definedName>
    <definedName name="dgqndn">#REF!</definedName>
    <definedName name="DGTH" localSheetId="0">#REF!</definedName>
    <definedName name="DGTH" localSheetId="1">#REF!</definedName>
    <definedName name="DGTH">#REF!</definedName>
    <definedName name="dgthss3" localSheetId="0">#REF!</definedName>
    <definedName name="dgthss3" localSheetId="1">#REF!</definedName>
    <definedName name="dgthss3">#REF!</definedName>
    <definedName name="dgvl" localSheetId="0">#REF!</definedName>
    <definedName name="dgvl" localSheetId="1">#REF!</definedName>
    <definedName name="dgvl">#REF!</definedName>
    <definedName name="dhom" localSheetId="0">#REF!</definedName>
    <definedName name="dhom" localSheetId="1">#REF!</definedName>
    <definedName name="dhom">#REF!</definedName>
    <definedName name="dm56bxd" localSheetId="0">#REF!</definedName>
    <definedName name="dm56bxd" localSheetId="1">#REF!</definedName>
    <definedName name="dm56bxd">#REF!</definedName>
    <definedName name="DMGT" localSheetId="0">#REF!</definedName>
    <definedName name="DMGT" localSheetId="1">#REF!</definedName>
    <definedName name="DMGT">#REF!</definedName>
    <definedName name="DMTL" localSheetId="0">#REF!</definedName>
    <definedName name="DMTL" localSheetId="1">#REF!</definedName>
    <definedName name="DMTL">#REF!</definedName>
    <definedName name="DNambo" localSheetId="0">#REF!</definedName>
    <definedName name="DNambo" localSheetId="1">#REF!</definedName>
    <definedName name="DNambo">#REF!</definedName>
    <definedName name="dobt" localSheetId="0">#REF!</definedName>
    <definedName name="dobt" localSheetId="1">#REF!</definedName>
    <definedName name="dobt">#REF!</definedName>
    <definedName name="Document_array">{"Thuxm2.xls","Sheet1"}</definedName>
    <definedName name="DON_GIA_3282" localSheetId="0">#REF!</definedName>
    <definedName name="DON_GIA_3282" localSheetId="1">#REF!</definedName>
    <definedName name="DON_GIA_3282">#REF!</definedName>
    <definedName name="DON_GIA_3283" localSheetId="0">#REF!</definedName>
    <definedName name="DON_GIA_3283" localSheetId="1">#REF!</definedName>
    <definedName name="DON_GIA_3283">#REF!</definedName>
    <definedName name="DON_GIA_3285" localSheetId="0">#REF!</definedName>
    <definedName name="DON_GIA_3285" localSheetId="1">#REF!</definedName>
    <definedName name="DON_GIA_3285">#REF!</definedName>
    <definedName name="DON_GIA_VAN_CHUYEN_36" localSheetId="0">#REF!</definedName>
    <definedName name="DON_GIA_VAN_CHUYEN_36" localSheetId="1">#REF!</definedName>
    <definedName name="DON_GIA_VAN_CHUYEN_36">#REF!</definedName>
    <definedName name="DongbangBB" localSheetId="0">#REF!</definedName>
    <definedName name="DongbangBB" localSheetId="1">#REF!</definedName>
    <definedName name="DongbangBB">#REF!</definedName>
    <definedName name="dongnamb" localSheetId="0">#REF!</definedName>
    <definedName name="dongnamb" localSheetId="1">#REF!</definedName>
    <definedName name="dongnamb">#REF!</definedName>
    <definedName name="ds1pnc" localSheetId="0">#REF!</definedName>
    <definedName name="ds1pnc" localSheetId="1">#REF!</definedName>
    <definedName name="ds1pnc">#REF!</definedName>
    <definedName name="ds1pvl" localSheetId="0">#REF!</definedName>
    <definedName name="ds1pvl" localSheetId="1">#REF!</definedName>
    <definedName name="ds1pvl">#REF!</definedName>
    <definedName name="ds3pnc" localSheetId="0">#REF!</definedName>
    <definedName name="ds3pnc" localSheetId="1">#REF!</definedName>
    <definedName name="ds3pnc">#REF!</definedName>
    <definedName name="ds3pvl" localSheetId="0">#REF!</definedName>
    <definedName name="ds3pvl" localSheetId="1">#REF!</definedName>
    <definedName name="ds3pvl">#REF!</definedName>
    <definedName name="dsa" localSheetId="0">#REF!</definedName>
    <definedName name="dsa" localSheetId="1">#REF!</definedName>
    <definedName name="dsa">#REF!</definedName>
    <definedName name="DSUMDATA" localSheetId="0">#REF!</definedName>
    <definedName name="DSUMDATA" localSheetId="1">#REF!</definedName>
    <definedName name="DSUMDATA">#REF!</definedName>
    <definedName name="DU_TOAN_CHI_TIET_CONG_TO" localSheetId="0">#REF!</definedName>
    <definedName name="DU_TOAN_CHI_TIET_CONG_TO" localSheetId="1">#REF!</definedName>
    <definedName name="DU_TOAN_CHI_TIET_CONG_TO">#REF!</definedName>
    <definedName name="DU_TOAN_CHI_TIET_DZ22KV" localSheetId="0">#REF!</definedName>
    <definedName name="DU_TOAN_CHI_TIET_DZ22KV" localSheetId="1">#REF!</definedName>
    <definedName name="DU_TOAN_CHI_TIET_DZ22KV">#REF!</definedName>
    <definedName name="DU_TOAN_CHI_TIET_KHO_BAI" localSheetId="0">#REF!</definedName>
    <definedName name="DU_TOAN_CHI_TIET_KHO_BAI" localSheetId="1">#REF!</definedName>
    <definedName name="DU_TOAN_CHI_TIET_KHO_BAI">#REF!</definedName>
    <definedName name="duphong" hidden="1">{"'Sheet1'!$L$16"}</definedName>
    <definedName name="DutoanDongmo" localSheetId="0">#REF!</definedName>
    <definedName name="DutoanDongmo" localSheetId="1">#REF!</definedName>
    <definedName name="DutoanDongmo">#REF!</definedName>
    <definedName name="Duyenhai" localSheetId="0">#REF!</definedName>
    <definedName name="Duyenhai" localSheetId="1">#REF!</definedName>
    <definedName name="Duyenhai">#REF!</definedName>
    <definedName name="dvhccount">'[2]data-dvhc-count'!$A:$E</definedName>
    <definedName name="dvhccount.">'[2]data-dvhc-count'!$A:$A</definedName>
    <definedName name="dvhcsum">'[2]data-dvhc-sum'!$A:$E</definedName>
    <definedName name="dvhcsum.">'[2]data-dvhc-sum'!$A:$A</definedName>
    <definedName name="End_1" localSheetId="0">#REF!</definedName>
    <definedName name="End_1" localSheetId="1">#REF!</definedName>
    <definedName name="End_1">#REF!</definedName>
    <definedName name="End_10" localSheetId="0">#REF!</definedName>
    <definedName name="End_10" localSheetId="1">#REF!</definedName>
    <definedName name="End_10">#REF!</definedName>
    <definedName name="End_11" localSheetId="0">#REF!</definedName>
    <definedName name="End_11" localSheetId="1">#REF!</definedName>
    <definedName name="End_11">#REF!</definedName>
    <definedName name="End_12" localSheetId="0">#REF!</definedName>
    <definedName name="End_12" localSheetId="1">#REF!</definedName>
    <definedName name="End_12">#REF!</definedName>
    <definedName name="End_13" localSheetId="0">#REF!</definedName>
    <definedName name="End_13" localSheetId="1">#REF!</definedName>
    <definedName name="End_13">#REF!</definedName>
    <definedName name="End_2" localSheetId="0">#REF!</definedName>
    <definedName name="End_2" localSheetId="1">#REF!</definedName>
    <definedName name="End_2">#REF!</definedName>
    <definedName name="End_3" localSheetId="0">#REF!</definedName>
    <definedName name="End_3" localSheetId="1">#REF!</definedName>
    <definedName name="End_3">#REF!</definedName>
    <definedName name="End_4" localSheetId="0">#REF!</definedName>
    <definedName name="End_4" localSheetId="1">#REF!</definedName>
    <definedName name="End_4">#REF!</definedName>
    <definedName name="End_5" localSheetId="0">#REF!</definedName>
    <definedName name="End_5" localSheetId="1">#REF!</definedName>
    <definedName name="End_5">#REF!</definedName>
    <definedName name="End_6" localSheetId="0">#REF!</definedName>
    <definedName name="End_6" localSheetId="1">#REF!</definedName>
    <definedName name="End_6">#REF!</definedName>
    <definedName name="End_7" localSheetId="0">#REF!</definedName>
    <definedName name="End_7" localSheetId="1">#REF!</definedName>
    <definedName name="End_7">#REF!</definedName>
    <definedName name="End_8" localSheetId="0">#REF!</definedName>
    <definedName name="End_8" localSheetId="1">#REF!</definedName>
    <definedName name="End_8">#REF!</definedName>
    <definedName name="End_9" localSheetId="0">#REF!</definedName>
    <definedName name="End_9" localSheetId="1">#REF!</definedName>
    <definedName name="End_9">#REF!</definedName>
    <definedName name="f" localSheetId="0">#REF!</definedName>
    <definedName name="f" localSheetId="1">#REF!</definedName>
    <definedName name="f">#REF!</definedName>
    <definedName name="f82E46" localSheetId="0">#REF!</definedName>
    <definedName name="f82E46" localSheetId="1">#REF!</definedName>
    <definedName name="f82E46">#REF!</definedName>
    <definedName name="FACTOR" localSheetId="0">#REF!</definedName>
    <definedName name="FACTOR" localSheetId="1">#REF!</definedName>
    <definedName name="FACTOR">#REF!</definedName>
    <definedName name="ff" localSheetId="0">#REF!</definedName>
    <definedName name="ff" localSheetId="1">#REF!</definedName>
    <definedName name="ff">#REF!</definedName>
    <definedName name="ffdsfds">#N/A</definedName>
    <definedName name="FI_12">4820</definedName>
    <definedName name="ghip" localSheetId="0">#REF!</definedName>
    <definedName name="ghip" localSheetId="1">#REF!</definedName>
    <definedName name="ghip">#REF!</definedName>
    <definedName name="GIA_CU_LY_VAN_CHUYEN" localSheetId="0">#REF!</definedName>
    <definedName name="GIA_CU_LY_VAN_CHUYEN" localSheetId="1">#REF!</definedName>
    <definedName name="GIA_CU_LY_VAN_CHUYEN">#REF!</definedName>
    <definedName name="gia_tien" localSheetId="0">#REF!</definedName>
    <definedName name="gia_tien" localSheetId="1">#REF!</definedName>
    <definedName name="gia_tien">#REF!</definedName>
    <definedName name="gia_tien_BTN" localSheetId="0">#REF!</definedName>
    <definedName name="gia_tien_BTN" localSheetId="1">#REF!</definedName>
    <definedName name="gia_tien_BTN">#REF!</definedName>
    <definedName name="gl3p" localSheetId="0">#REF!</definedName>
    <definedName name="gl3p" localSheetId="1">#REF!</definedName>
    <definedName name="gl3p">#REF!</definedName>
    <definedName name="GT" localSheetId="0">#REF!</definedName>
    <definedName name="GT" localSheetId="1">#REF!</definedName>
    <definedName name="GT">#REF!</definedName>
    <definedName name="gtst" localSheetId="0">#REF!</definedName>
    <definedName name="gtst" localSheetId="1">#REF!</definedName>
    <definedName name="gtst">#REF!</definedName>
    <definedName name="h" hidden="1">{"'Sheet1'!$L$16"}</definedName>
    <definedName name="H_30" localSheetId="0">#REF!</definedName>
    <definedName name="H_30" localSheetId="1">#REF!</definedName>
    <definedName name="H_30">#REF!</definedName>
    <definedName name="Ha" localSheetId="0">#REF!</definedName>
    <definedName name="Ha" localSheetId="1">#REF!</definedName>
    <definedName name="Ha">#REF!</definedName>
    <definedName name="HCM" localSheetId="0">#REF!</definedName>
    <definedName name="HCM" localSheetId="1">#REF!</definedName>
    <definedName name="HCM">#REF!</definedName>
    <definedName name="HE_SO_KHO_KHAN_CANG_DAY" localSheetId="0">#REF!</definedName>
    <definedName name="HE_SO_KHO_KHAN_CANG_DAY" localSheetId="1">#REF!</definedName>
    <definedName name="HE_SO_KHO_KHAN_CANG_DAY">#REF!</definedName>
    <definedName name="Heä_soá_laép_xaø_H">1.7</definedName>
    <definedName name="heä_soá_sình_laày" localSheetId="0">#REF!</definedName>
    <definedName name="heä_soá_sình_laày" localSheetId="1">#REF!</definedName>
    <definedName name="heä_soá_sình_laày">#REF!</definedName>
    <definedName name="hg" localSheetId="0">#REF!</definedName>
    <definedName name="hg" localSheetId="1">#REF!</definedName>
    <definedName name="hg">#REF!</definedName>
    <definedName name="HH" localSheetId="0">#REF!</definedName>
    <definedName name="HH" localSheetId="1">#REF!</definedName>
    <definedName name="HH">#REF!</definedName>
    <definedName name="hien" localSheetId="0">#REF!</definedName>
    <definedName name="hien" localSheetId="1">#REF!</definedName>
    <definedName name="hien">#REF!</definedName>
    <definedName name="HN" localSheetId="0">#REF!</definedName>
    <definedName name="HN" localSheetId="1">#REF!</definedName>
    <definedName name="HN">#REF!</definedName>
    <definedName name="Hoabinh" localSheetId="0">#REF!</definedName>
    <definedName name="Hoabinh" localSheetId="1">#REF!</definedName>
    <definedName name="Hoabinh">#REF!</definedName>
    <definedName name="HOME_MANP" localSheetId="0">#REF!</definedName>
    <definedName name="HOME_MANP" localSheetId="1">#REF!</definedName>
    <definedName name="HOME_MANP">#REF!</definedName>
    <definedName name="HOMEOFFICE_COST" localSheetId="0">#REF!</definedName>
    <definedName name="HOMEOFFICE_COST" localSheetId="1">#REF!</definedName>
    <definedName name="HOMEOFFICE_COST">#REF!</definedName>
    <definedName name="HSCT3">0.1</definedName>
    <definedName name="hsdc1" localSheetId="0">#REF!</definedName>
    <definedName name="hsdc1" localSheetId="1">#REF!</definedName>
    <definedName name="hsdc1">#REF!</definedName>
    <definedName name="HSDN">2.5</definedName>
    <definedName name="HSHH" localSheetId="0">#REF!</definedName>
    <definedName name="HSHH" localSheetId="1">#REF!</definedName>
    <definedName name="HSHH">#REF!</definedName>
    <definedName name="HSHHUT" localSheetId="0">#REF!</definedName>
    <definedName name="HSHHUT" localSheetId="1">#REF!</definedName>
    <definedName name="HSHHUT">#REF!</definedName>
    <definedName name="HSSL" localSheetId="0">#REF!</definedName>
    <definedName name="HSSL" localSheetId="1">#REF!</definedName>
    <definedName name="HSSL">#REF!</definedName>
    <definedName name="hßm4" localSheetId="0">#REF!</definedName>
    <definedName name="hßm4" localSheetId="1">#REF!</definedName>
    <definedName name="hßm4">#REF!</definedName>
    <definedName name="HSVC1" localSheetId="0">#REF!</definedName>
    <definedName name="HSVC1" localSheetId="1">#REF!</definedName>
    <definedName name="HSVC1">#REF!</definedName>
    <definedName name="HSVC2" localSheetId="0">#REF!</definedName>
    <definedName name="HSVC2" localSheetId="1">#REF!</definedName>
    <definedName name="HSVC2">#REF!</definedName>
    <definedName name="HSVC3" localSheetId="0">#REF!</definedName>
    <definedName name="HSVC3" localSheetId="1">#REF!</definedName>
    <definedName name="HSVC3">#REF!</definedName>
    <definedName name="htdd2003" localSheetId="0">#REF!</definedName>
    <definedName name="htdd2003" localSheetId="1">#REF!</definedName>
    <definedName name="htdd2003">#REF!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Title" hidden="1">"00Q3961-SUM"</definedName>
    <definedName name="HTNC" localSheetId="0">#REF!</definedName>
    <definedName name="HTNC" localSheetId="1">#REF!</definedName>
    <definedName name="HTNC">#REF!</definedName>
    <definedName name="HTVL" localSheetId="0">#REF!</definedName>
    <definedName name="HTVL" localSheetId="1">#REF!</definedName>
    <definedName name="HTVL">#REF!</definedName>
    <definedName name="huy" hidden="1">{"'Sheet1'!$L$16"}</definedName>
    <definedName name="I" localSheetId="0">#REF!</definedName>
    <definedName name="I" localSheetId="1">#REF!</definedName>
    <definedName name="I">#REF!</definedName>
    <definedName name="IDLAB_COST" localSheetId="0">#REF!</definedName>
    <definedName name="IDLAB_COST" localSheetId="1">#REF!</definedName>
    <definedName name="IDLAB_COST">#REF!</definedName>
    <definedName name="IND_LAB" localSheetId="0">#REF!</definedName>
    <definedName name="IND_LAB" localSheetId="1">#REF!</definedName>
    <definedName name="IND_LAB">#REF!</definedName>
    <definedName name="INDMANP" localSheetId="0">#REF!</definedName>
    <definedName name="INDMANP" localSheetId="1">#REF!</definedName>
    <definedName name="INDMANP">#REF!</definedName>
    <definedName name="j" localSheetId="0">#REF!</definedName>
    <definedName name="j" localSheetId="1">#REF!</definedName>
    <definedName name="j">#REF!</definedName>
    <definedName name="j356C8" localSheetId="0">#REF!</definedName>
    <definedName name="j356C8" localSheetId="1">#REF!</definedName>
    <definedName name="j356C8">#REF!</definedName>
    <definedName name="ka">2</definedName>
    <definedName name="kcong" localSheetId="0">#REF!</definedName>
    <definedName name="kcong" localSheetId="1">#REF!</definedName>
    <definedName name="kcong">#REF!</definedName>
    <definedName name="KHOI_LUONG_DAT_DAO_DAP" localSheetId="0">#REF!</definedName>
    <definedName name="KHOI_LUONG_DAT_DAO_DAP" localSheetId="1">#REF!</definedName>
    <definedName name="KHOI_LUONG_DAT_DAO_DAP">#REF!</definedName>
    <definedName name="KhuyenmaiUPS">"AutoShape 264"</definedName>
    <definedName name="ki" localSheetId="0">#REF!</definedName>
    <definedName name="ki" localSheetId="1">#REF!</definedName>
    <definedName name="ki">#REF!</definedName>
    <definedName name="KINH_PHI_DEN_BU" localSheetId="0">#REF!</definedName>
    <definedName name="KINH_PHI_DEN_BU" localSheetId="1">#REF!</definedName>
    <definedName name="KINH_PHI_DEN_BU">#REF!</definedName>
    <definedName name="KINH_PHI_DZ0.4KV" localSheetId="0">#REF!</definedName>
    <definedName name="KINH_PHI_DZ0.4KV" localSheetId="1">#REF!</definedName>
    <definedName name="KINH_PHI_DZ0.4KV">#REF!</definedName>
    <definedName name="KINH_PHI_KHAO_SAT__LAP_BCNCKT__TKKTTC" localSheetId="0">#REF!</definedName>
    <definedName name="KINH_PHI_KHAO_SAT__LAP_BCNCKT__TKKTTC" localSheetId="1">#REF!</definedName>
    <definedName name="KINH_PHI_KHAO_SAT__LAP_BCNCKT__TKKTTC">#REF!</definedName>
    <definedName name="KINH_PHI_KHO_BAI" localSheetId="0">#REF!</definedName>
    <definedName name="KINH_PHI_KHO_BAI" localSheetId="1">#REF!</definedName>
    <definedName name="KINH_PHI_KHO_BAI">#REF!</definedName>
    <definedName name="KINH_PHI_TBA" localSheetId="0">#REF!</definedName>
    <definedName name="KINH_PHI_TBA" localSheetId="1">#REF!</definedName>
    <definedName name="KINH_PHI_TBA">#REF!</definedName>
    <definedName name="kothuhoicount">'[2]data-kothuhoi-count'!$A:$E</definedName>
    <definedName name="kothuhoicount.">'[2]data-kothuhoi-count'!$A:$A</definedName>
    <definedName name="kothuhoisum">'[2]data-kothuhoi-sum'!$A:$E</definedName>
    <definedName name="kothuhoisum.">'[2]data-kothuhoi-sum'!$A:$A</definedName>
    <definedName name="kp1ph" localSheetId="0">#REF!</definedName>
    <definedName name="kp1ph" localSheetId="1">#REF!</definedName>
    <definedName name="kp1ph">#REF!</definedName>
    <definedName name="KVC" localSheetId="0">#REF!</definedName>
    <definedName name="KVC" localSheetId="1">#REF!</definedName>
    <definedName name="KVC">#REF!</definedName>
    <definedName name="L" localSheetId="0">#REF!</definedName>
    <definedName name="L" localSheetId="1">#REF!</definedName>
    <definedName name="L">#REF!</definedName>
    <definedName name="L63x6">5800</definedName>
    <definedName name="Laichau" localSheetId="0">#REF!</definedName>
    <definedName name="Laichau" localSheetId="1">#REF!</definedName>
    <definedName name="Laichau">#REF!</definedName>
    <definedName name="lan" localSheetId="0">#REF!</definedName>
    <definedName name="lan" localSheetId="1">#REF!</definedName>
    <definedName name="lan">#REF!</definedName>
    <definedName name="Laocai" localSheetId="0">#REF!</definedName>
    <definedName name="Laocai" localSheetId="1">#REF!</definedName>
    <definedName name="Laocai">#REF!</definedName>
    <definedName name="LAP_DAT_TBA" localSheetId="0">#REF!</definedName>
    <definedName name="LAP_DAT_TBA" localSheetId="1">#REF!</definedName>
    <definedName name="LAP_DAT_TBA">#REF!</definedName>
    <definedName name="LBS_22">107800000</definedName>
    <definedName name="LIET_KE_VI_TRI_DZ0.4KV" localSheetId="0">#REF!</definedName>
    <definedName name="LIET_KE_VI_TRI_DZ0.4KV" localSheetId="1">#REF!</definedName>
    <definedName name="LIET_KE_VI_TRI_DZ0.4KV">#REF!</definedName>
    <definedName name="LIET_KE_VI_TRI_DZ22KV" localSheetId="0">#REF!</definedName>
    <definedName name="LIET_KE_VI_TRI_DZ22KV" localSheetId="1">#REF!</definedName>
    <definedName name="LIET_KE_VI_TRI_DZ22KV">#REF!</definedName>
    <definedName name="Lmk" localSheetId="0">#REF!</definedName>
    <definedName name="Lmk" localSheetId="1">#REF!</definedName>
    <definedName name="Lmk">#REF!</definedName>
    <definedName name="Lnsc" localSheetId="0">#REF!</definedName>
    <definedName name="Lnsc" localSheetId="1">#REF!</definedName>
    <definedName name="Lnsc">#REF!</definedName>
    <definedName name="lntt" localSheetId="0">#REF!</definedName>
    <definedName name="lntt" localSheetId="1">#REF!</definedName>
    <definedName name="lntt">#REF!</definedName>
    <definedName name="loaidatcount">'[2]data-loaidat-count'!$A:$E</definedName>
    <definedName name="loaidatcount.">'[2]data-loaidat-count'!$A:$A</definedName>
    <definedName name="loaidatcount1820">'[2]data-loaidat-count-1820'!$A:$E</definedName>
    <definedName name="loaidatcount1820.">'[2]data-loaidat-count-1820'!$A:$A</definedName>
    <definedName name="loaidatsum">'[2]data-loaidat-sum'!$A:$E</definedName>
    <definedName name="loaidatsum.">'[2]data-loaidat-sum'!$A:$A</definedName>
    <definedName name="loaidatsum1820">'[2]data-loaidat-sum-1820'!$A:$E</definedName>
    <definedName name="loaidatsum1820.">'[2]data-loaidat-sum-1820'!$A:$A</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ua10count">'[2]data-lua&lt;10-count'!$A:$E</definedName>
    <definedName name="lua10count.">'[2]data-lua&lt;10-count'!$A:$A</definedName>
    <definedName name="lua10sum">'[2]data-lua&lt;10-sum'!$A:$E</definedName>
    <definedName name="lua10sum.">'[2]data-lua&lt;10-sum'!$A:$A</definedName>
    <definedName name="lVC" localSheetId="0">#REF!</definedName>
    <definedName name="lVC" localSheetId="1">#REF!</definedName>
    <definedName name="lVC">#REF!</definedName>
    <definedName name="M" localSheetId="0">#REF!</definedName>
    <definedName name="M" localSheetId="1">#REF!</definedName>
    <definedName name="M">#REF!</definedName>
    <definedName name="M12ba3p" localSheetId="0">#REF!</definedName>
    <definedName name="M12ba3p" localSheetId="1">#REF!</definedName>
    <definedName name="M12ba3p">#REF!</definedName>
    <definedName name="M12bb1p" localSheetId="0">#REF!</definedName>
    <definedName name="M12bb1p" localSheetId="1">#REF!</definedName>
    <definedName name="M12bb1p">#REF!</definedName>
    <definedName name="M12cbnc" localSheetId="0">#REF!</definedName>
    <definedName name="M12cbnc" localSheetId="1">#REF!</definedName>
    <definedName name="M12cbnc">#REF!</definedName>
    <definedName name="M12cbvl" localSheetId="0">#REF!</definedName>
    <definedName name="M12cbvl" localSheetId="1">#REF!</definedName>
    <definedName name="M12cbvl">#REF!</definedName>
    <definedName name="M14bb1p" localSheetId="0">#REF!</definedName>
    <definedName name="M14bb1p" localSheetId="1">#REF!</definedName>
    <definedName name="M14bb1p">#REF!</definedName>
    <definedName name="m8aanc" localSheetId="0">#REF!</definedName>
    <definedName name="m8aanc" localSheetId="1">#REF!</definedName>
    <definedName name="m8aanc">#REF!</definedName>
    <definedName name="m8aavl" localSheetId="0">#REF!</definedName>
    <definedName name="m8aavl" localSheetId="1">#REF!</definedName>
    <definedName name="m8aavl">#REF!</definedName>
    <definedName name="Ma3pnc" localSheetId="0">#REF!</definedName>
    <definedName name="Ma3pnc" localSheetId="1">#REF!</definedName>
    <definedName name="Ma3pnc">#REF!</definedName>
    <definedName name="Ma3pvl" localSheetId="0">#REF!</definedName>
    <definedName name="Ma3pvl" localSheetId="1">#REF!</definedName>
    <definedName name="Ma3pvl">#REF!</definedName>
    <definedName name="Maa3pnc" localSheetId="0">#REF!</definedName>
    <definedName name="Maa3pnc" localSheetId="1">#REF!</definedName>
    <definedName name="Maa3pnc">#REF!</definedName>
    <definedName name="Maa3pvl" localSheetId="0">#REF!</definedName>
    <definedName name="Maa3pvl" localSheetId="1">#REF!</definedName>
    <definedName name="Maa3pvl">#REF!</definedName>
    <definedName name="MAJ_CON_EQP" localSheetId="0">#REF!</definedName>
    <definedName name="MAJ_CON_EQP" localSheetId="1">#REF!</definedName>
    <definedName name="MAJ_CON_EQP">#REF!</definedName>
    <definedName name="Mba1p" localSheetId="0">#REF!</definedName>
    <definedName name="Mba1p" localSheetId="1">#REF!</definedName>
    <definedName name="Mba1p">#REF!</definedName>
    <definedName name="Mba3p" localSheetId="0">#REF!</definedName>
    <definedName name="Mba3p" localSheetId="1">#REF!</definedName>
    <definedName name="Mba3p">#REF!</definedName>
    <definedName name="Mbb3p" localSheetId="0">#REF!</definedName>
    <definedName name="Mbb3p" localSheetId="1">#REF!</definedName>
    <definedName name="Mbb3p">#REF!</definedName>
    <definedName name="Mbn1p" localSheetId="0">#REF!</definedName>
    <definedName name="Mbn1p" localSheetId="1">#REF!</definedName>
    <definedName name="Mbn1p">#REF!</definedName>
    <definedName name="mc" localSheetId="0">#REF!</definedName>
    <definedName name="mc" localSheetId="1">#REF!</definedName>
    <definedName name="mc">#REF!</definedName>
    <definedName name="me" localSheetId="0">#REF!</definedName>
    <definedName name="me" localSheetId="1">#REF!</definedName>
    <definedName name="me">#REF!</definedName>
    <definedName name="MG_A" localSheetId="0">#REF!</definedName>
    <definedName name="MG_A" localSheetId="1">#REF!</definedName>
    <definedName name="MG_A">#REF!</definedName>
    <definedName name="miennui" localSheetId="0">#REF!</definedName>
    <definedName name="miennui" localSheetId="1">#REF!</definedName>
    <definedName name="miennui">#REF!</definedName>
    <definedName name="mn" localSheetId="0">#REF!</definedName>
    <definedName name="mn" localSheetId="1">#REF!</definedName>
    <definedName name="mn">#REF!</definedName>
    <definedName name="MNTDU" localSheetId="0">#REF!</definedName>
    <definedName name="MNTDU" localSheetId="1">#REF!</definedName>
    <definedName name="MNTDU">#REF!</definedName>
    <definedName name="MNuiTD" localSheetId="0">#REF!</definedName>
    <definedName name="MNuiTD" localSheetId="1">#REF!</definedName>
    <definedName name="MNuiTD">#REF!</definedName>
    <definedName name="Morong" localSheetId="0">#REF!</definedName>
    <definedName name="Morong" localSheetId="1">#REF!</definedName>
    <definedName name="Morong">#REF!</definedName>
    <definedName name="Morong4054_85" localSheetId="0">#REF!</definedName>
    <definedName name="Morong4054_85" localSheetId="1">#REF!</definedName>
    <definedName name="Morong4054_85">#REF!</definedName>
    <definedName name="morong4054_98" localSheetId="0">#REF!</definedName>
    <definedName name="morong4054_98" localSheetId="1">#REF!</definedName>
    <definedName name="morong4054_98">#REF!</definedName>
    <definedName name="mtcdg" localSheetId="0">#REF!</definedName>
    <definedName name="mtcdg" localSheetId="1">#REF!</definedName>
    <definedName name="mtcdg">#REF!</definedName>
    <definedName name="MTMAC12" localSheetId="0">#REF!</definedName>
    <definedName name="MTMAC12" localSheetId="1">#REF!</definedName>
    <definedName name="MTMAC12">#REF!</definedName>
    <definedName name="mtram" localSheetId="0">#REF!</definedName>
    <definedName name="mtram" localSheetId="1">#REF!</definedName>
    <definedName name="mtram">#REF!</definedName>
    <definedName name="myle" localSheetId="0">#REF!</definedName>
    <definedName name="myle" localSheetId="1">#REF!</definedName>
    <definedName name="myle">#REF!</definedName>
    <definedName name="n1pig" localSheetId="0">#REF!</definedName>
    <definedName name="n1pig" localSheetId="1">#REF!</definedName>
    <definedName name="n1pig">#REF!</definedName>
    <definedName name="n1pind" localSheetId="0">#REF!</definedName>
    <definedName name="n1pind" localSheetId="1">#REF!</definedName>
    <definedName name="n1pind">#REF!</definedName>
    <definedName name="n1ping" localSheetId="0">#REF!</definedName>
    <definedName name="n1ping" localSheetId="1">#REF!</definedName>
    <definedName name="n1ping">#REF!</definedName>
    <definedName name="n1pint" localSheetId="0">#REF!</definedName>
    <definedName name="n1pint" localSheetId="1">#REF!</definedName>
    <definedName name="n1pint">#REF!</definedName>
    <definedName name="namno" localSheetId="0">#REF!</definedName>
    <definedName name="namno" localSheetId="1">#REF!</definedName>
    <definedName name="namno">#REF!</definedName>
    <definedName name="NamTRbo" localSheetId="0">#REF!</definedName>
    <definedName name="NamTRbo" localSheetId="1">#REF!</definedName>
    <definedName name="NamTRbo">#REF!</definedName>
    <definedName name="nc1p" localSheetId="0">#REF!</definedName>
    <definedName name="nc1p" localSheetId="1">#REF!</definedName>
    <definedName name="nc1p">#REF!</definedName>
    <definedName name="nc3p" localSheetId="0">#REF!</definedName>
    <definedName name="nc3p" localSheetId="1">#REF!</definedName>
    <definedName name="nc3p">#REF!</definedName>
    <definedName name="NCBD100" localSheetId="0">#REF!</definedName>
    <definedName name="NCBD100" localSheetId="1">#REF!</definedName>
    <definedName name="NCBD100">#REF!</definedName>
    <definedName name="NCBD200" localSheetId="0">#REF!</definedName>
    <definedName name="NCBD200" localSheetId="1">#REF!</definedName>
    <definedName name="NCBD200">#REF!</definedName>
    <definedName name="NCBD250" localSheetId="0">#REF!</definedName>
    <definedName name="NCBD250" localSheetId="1">#REF!</definedName>
    <definedName name="NCBD250">#REF!</definedName>
    <definedName name="NCcap0.7" localSheetId="0">#REF!</definedName>
    <definedName name="NCcap0.7" localSheetId="1">#REF!</definedName>
    <definedName name="NCcap0.7">#REF!</definedName>
    <definedName name="NCcap1" localSheetId="0">#REF!</definedName>
    <definedName name="NCcap1" localSheetId="1">#REF!</definedName>
    <definedName name="NCcap1">#REF!</definedName>
    <definedName name="ncdg" localSheetId="0">#REF!</definedName>
    <definedName name="ncdg" localSheetId="1">#REF!</definedName>
    <definedName name="ncdg">#REF!</definedName>
    <definedName name="nctram" localSheetId="0">#REF!</definedName>
    <definedName name="nctram" localSheetId="1">#REF!</definedName>
    <definedName name="nctram">#REF!</definedName>
    <definedName name="NCVC100" localSheetId="0">#REF!</definedName>
    <definedName name="NCVC100" localSheetId="1">#REF!</definedName>
    <definedName name="NCVC100">#REF!</definedName>
    <definedName name="NCVC200" localSheetId="0">#REF!</definedName>
    <definedName name="NCVC200" localSheetId="1">#REF!</definedName>
    <definedName name="NCVC200">#REF!</definedName>
    <definedName name="NCVC250" localSheetId="0">#REF!</definedName>
    <definedName name="NCVC250" localSheetId="1">#REF!</definedName>
    <definedName name="NCVC250">#REF!</definedName>
    <definedName name="NCVC3P" localSheetId="0">#REF!</definedName>
    <definedName name="NCVC3P" localSheetId="1">#REF!</definedName>
    <definedName name="NCVC3P">#REF!</definedName>
    <definedName name="NET" localSheetId="0">#REF!</definedName>
    <definedName name="NET" localSheetId="1">#REF!</definedName>
    <definedName name="NET">#REF!</definedName>
    <definedName name="NET_1" localSheetId="0">#REF!</definedName>
    <definedName name="NET_1" localSheetId="1">#REF!</definedName>
    <definedName name="NET_1">#REF!</definedName>
    <definedName name="NET_ANA" localSheetId="0">#REF!</definedName>
    <definedName name="NET_ANA" localSheetId="1">#REF!</definedName>
    <definedName name="NET_ANA">#REF!</definedName>
    <definedName name="NET_ANA_1" localSheetId="0">#REF!</definedName>
    <definedName name="NET_ANA_1" localSheetId="1">#REF!</definedName>
    <definedName name="NET_ANA_1">#REF!</definedName>
    <definedName name="NET_ANA_2" localSheetId="0">#REF!</definedName>
    <definedName name="NET_ANA_2" localSheetId="1">#REF!</definedName>
    <definedName name="NET_ANA_2">#REF!</definedName>
    <definedName name="NH" localSheetId="0">#REF!</definedName>
    <definedName name="NH" localSheetId="1">#REF!</definedName>
    <definedName name="NH">#REF!</definedName>
    <definedName name="nhn" localSheetId="0">#REF!</definedName>
    <definedName name="nhn" localSheetId="1">#REF!</definedName>
    <definedName name="nhn">#REF!</definedName>
    <definedName name="NHot" localSheetId="0">#REF!</definedName>
    <definedName name="NHot" localSheetId="1">#REF!</definedName>
    <definedName name="NHot">#REF!</definedName>
    <definedName name="nig" localSheetId="0">#REF!</definedName>
    <definedName name="nig" localSheetId="1">#REF!</definedName>
    <definedName name="nig">#REF!</definedName>
    <definedName name="nig1p" localSheetId="0">#REF!</definedName>
    <definedName name="nig1p" localSheetId="1">#REF!</definedName>
    <definedName name="nig1p">#REF!</definedName>
    <definedName name="nig3p" localSheetId="0">#REF!</definedName>
    <definedName name="nig3p" localSheetId="1">#REF!</definedName>
    <definedName name="nig3p">#REF!</definedName>
    <definedName name="nignc1p" localSheetId="0">#REF!</definedName>
    <definedName name="nignc1p" localSheetId="1">#REF!</definedName>
    <definedName name="nignc1p">#REF!</definedName>
    <definedName name="nigvl1p" localSheetId="0">#REF!</definedName>
    <definedName name="nigvl1p" localSheetId="1">#REF!</definedName>
    <definedName name="nigvl1p">#REF!</definedName>
    <definedName name="nin" localSheetId="0">#REF!</definedName>
    <definedName name="nin" localSheetId="1">#REF!</definedName>
    <definedName name="nin">#REF!</definedName>
    <definedName name="nin14nc3p" localSheetId="0">#REF!</definedName>
    <definedName name="nin14nc3p" localSheetId="1">#REF!</definedName>
    <definedName name="nin14nc3p">#REF!</definedName>
    <definedName name="nin14vl3p" localSheetId="0">#REF!</definedName>
    <definedName name="nin14vl3p" localSheetId="1">#REF!</definedName>
    <definedName name="nin14vl3p">#REF!</definedName>
    <definedName name="nin1903p" localSheetId="0">#REF!</definedName>
    <definedName name="nin1903p" localSheetId="1">#REF!</definedName>
    <definedName name="nin1903p">#REF!</definedName>
    <definedName name="nin190nc3p" localSheetId="0">#REF!</definedName>
    <definedName name="nin190nc3p" localSheetId="1">#REF!</definedName>
    <definedName name="nin190nc3p">#REF!</definedName>
    <definedName name="nin190vl3p" localSheetId="0">#REF!</definedName>
    <definedName name="nin190vl3p" localSheetId="1">#REF!</definedName>
    <definedName name="nin190vl3p">#REF!</definedName>
    <definedName name="nin2903p" localSheetId="0">#REF!</definedName>
    <definedName name="nin2903p" localSheetId="1">#REF!</definedName>
    <definedName name="nin2903p">#REF!</definedName>
    <definedName name="nin290nc3p" localSheetId="0">#REF!</definedName>
    <definedName name="nin290nc3p" localSheetId="1">#REF!</definedName>
    <definedName name="nin290nc3p">#REF!</definedName>
    <definedName name="nin290vl3p" localSheetId="0">#REF!</definedName>
    <definedName name="nin290vl3p" localSheetId="1">#REF!</definedName>
    <definedName name="nin290vl3p">#REF!</definedName>
    <definedName name="nin3p" localSheetId="0">#REF!</definedName>
    <definedName name="nin3p" localSheetId="1">#REF!</definedName>
    <definedName name="nin3p">#REF!</definedName>
    <definedName name="nind" localSheetId="0">#REF!</definedName>
    <definedName name="nind" localSheetId="1">#REF!</definedName>
    <definedName name="nind">#REF!</definedName>
    <definedName name="nind1p" localSheetId="0">#REF!</definedName>
    <definedName name="nind1p" localSheetId="1">#REF!</definedName>
    <definedName name="nind1p">#REF!</definedName>
    <definedName name="nind3p" localSheetId="0">#REF!</definedName>
    <definedName name="nind3p" localSheetId="1">#REF!</definedName>
    <definedName name="nind3p">#REF!</definedName>
    <definedName name="nindnc1p" localSheetId="0">#REF!</definedName>
    <definedName name="nindnc1p" localSheetId="1">#REF!</definedName>
    <definedName name="nindnc1p">#REF!</definedName>
    <definedName name="nindnc3p" localSheetId="0">#REF!</definedName>
    <definedName name="nindnc3p" localSheetId="1">#REF!</definedName>
    <definedName name="nindnc3p">#REF!</definedName>
    <definedName name="nindvl1p" localSheetId="0">#REF!</definedName>
    <definedName name="nindvl1p" localSheetId="1">#REF!</definedName>
    <definedName name="nindvl1p">#REF!</definedName>
    <definedName name="nindvl3p" localSheetId="0">#REF!</definedName>
    <definedName name="nindvl3p" localSheetId="1">#REF!</definedName>
    <definedName name="nindvl3p">#REF!</definedName>
    <definedName name="ning1p" localSheetId="0">#REF!</definedName>
    <definedName name="ning1p" localSheetId="1">#REF!</definedName>
    <definedName name="ning1p">#REF!</definedName>
    <definedName name="ningnc1p" localSheetId="0">#REF!</definedName>
    <definedName name="ningnc1p" localSheetId="1">#REF!</definedName>
    <definedName name="ningnc1p">#REF!</definedName>
    <definedName name="ningvl1p" localSheetId="0">#REF!</definedName>
    <definedName name="ningvl1p" localSheetId="1">#REF!</definedName>
    <definedName name="ningvl1p">#REF!</definedName>
    <definedName name="ninnc3p" localSheetId="0">#REF!</definedName>
    <definedName name="ninnc3p" localSheetId="1">#REF!</definedName>
    <definedName name="ninnc3p">#REF!</definedName>
    <definedName name="nint1p" localSheetId="0">#REF!</definedName>
    <definedName name="nint1p" localSheetId="1">#REF!</definedName>
    <definedName name="nint1p">#REF!</definedName>
    <definedName name="nintnc1p" localSheetId="0">#REF!</definedName>
    <definedName name="nintnc1p" localSheetId="1">#REF!</definedName>
    <definedName name="nintnc1p">#REF!</definedName>
    <definedName name="nintvl1p" localSheetId="0">#REF!</definedName>
    <definedName name="nintvl1p" localSheetId="1">#REF!</definedName>
    <definedName name="nintvl1p">#REF!</definedName>
    <definedName name="ninvl3p" localSheetId="0">#REF!</definedName>
    <definedName name="ninvl3p" localSheetId="1">#REF!</definedName>
    <definedName name="ninvl3p">#REF!</definedName>
    <definedName name="NL" localSheetId="0">#REF!</definedName>
    <definedName name="NL" localSheetId="1">#REF!</definedName>
    <definedName name="NL">#REF!</definedName>
    <definedName name="nl1p" localSheetId="0">#REF!</definedName>
    <definedName name="nl1p" localSheetId="1">#REF!</definedName>
    <definedName name="nl1p">#REF!</definedName>
    <definedName name="nl3p" localSheetId="0">#REF!</definedName>
    <definedName name="nl3p" localSheetId="1">#REF!</definedName>
    <definedName name="nl3p">#REF!</definedName>
    <definedName name="nlnc3p" localSheetId="0">#REF!</definedName>
    <definedName name="nlnc3p" localSheetId="1">#REF!</definedName>
    <definedName name="nlnc3p">#REF!</definedName>
    <definedName name="nlnc3pha" localSheetId="0">#REF!</definedName>
    <definedName name="nlnc3pha" localSheetId="1">#REF!</definedName>
    <definedName name="nlnc3pha">#REF!</definedName>
    <definedName name="NLTK1p" localSheetId="0">#REF!</definedName>
    <definedName name="NLTK1p" localSheetId="1">#REF!</definedName>
    <definedName name="NLTK1p">#REF!</definedName>
    <definedName name="nlvl3p" localSheetId="0">#REF!</definedName>
    <definedName name="nlvl3p" localSheetId="1">#REF!</definedName>
    <definedName name="nlvl3p">#REF!</definedName>
    <definedName name="nn" localSheetId="0">#REF!</definedName>
    <definedName name="nn" localSheetId="1">#REF!</definedName>
    <definedName name="nn">#REF!</definedName>
    <definedName name="nn1p" localSheetId="0">#REF!</definedName>
    <definedName name="nn1p" localSheetId="1">#REF!</definedName>
    <definedName name="nn1p">#REF!</definedName>
    <definedName name="nn3p" localSheetId="0">#REF!</definedName>
    <definedName name="nn3p" localSheetId="1">#REF!</definedName>
    <definedName name="nn3p">#REF!</definedName>
    <definedName name="nnnc3p" localSheetId="0">#REF!</definedName>
    <definedName name="nnnc3p" localSheetId="1">#REF!</definedName>
    <definedName name="nnnc3p">#REF!</definedName>
    <definedName name="nnvl3p" localSheetId="0">#REF!</definedName>
    <definedName name="nnvl3p" localSheetId="1">#REF!</definedName>
    <definedName name="nnvl3p">#REF!</definedName>
    <definedName name="No" localSheetId="0">#REF!</definedName>
    <definedName name="No" localSheetId="1">#REF!</definedName>
    <definedName name="No">#REF!</definedName>
    <definedName name="ophom" localSheetId="0">#REF!</definedName>
    <definedName name="ophom" localSheetId="1">#REF!</definedName>
    <definedName name="ophom">#REF!</definedName>
    <definedName name="PA" localSheetId="0">#REF!</definedName>
    <definedName name="PA" localSheetId="1">#REF!</definedName>
    <definedName name="PA">#REF!</definedName>
    <definedName name="pb10acount">'[1]datapb10a-count'!$A:$B</definedName>
    <definedName name="pb10acount.">'[1]datapb10a-count'!$A:$A</definedName>
    <definedName name="pb10asum">'[1]datapb10a-sum'!$A$1:$B$100</definedName>
    <definedName name="pb10asum.">'[1]datapb10a-sum'!$A$1:$A$100</definedName>
    <definedName name="pb10bLUAcount">'[1]datapb 10bLUA-count'!$A:$B</definedName>
    <definedName name="pb10bLUAcount.">'[1]datapb 10bLUA-count'!$A:$A</definedName>
    <definedName name="pb10bLUAsum">'[1]datapb 10bLUA-sum'!$A:$B</definedName>
    <definedName name="pb10bLUAsum.">'[1]datapb 10bLUA-sum'!$A:$A</definedName>
    <definedName name="pb10bRDDcount">'[1]datapb 10bRDD-count'!$A:$B</definedName>
    <definedName name="pb10bRDDcount.">'[1]datapb 10bRDD-count'!$A:$A</definedName>
    <definedName name="pb10bRDDsum">'[1]datapb 10bRDD-sum'!$A:$B</definedName>
    <definedName name="pb10bRDDsum.">'[1]datapb 10bRDD-sum'!$A:$A</definedName>
    <definedName name="pb10bRPHcount">'[1]datapb 10bRPH-count'!$A:$B</definedName>
    <definedName name="pb10bRPHcount.">'[1]datapb 10bRPH-count'!$A:$A</definedName>
    <definedName name="pb10bRPHsum">'[1]datapb 10bRPH-sum'!$A:$B</definedName>
    <definedName name="pb10bRPHsum.">'[1]datapb 10bRPH-sum'!$A:$A</definedName>
    <definedName name="pb10cLUAcount">'[1]datapb 10cLUA-count'!$A:$B</definedName>
    <definedName name="pb10cLUAcount.">'[1]datapb 10cLUA-count'!$A:$A</definedName>
    <definedName name="pb10cLUAsum.">'[1]datapb 10cLUA-sum'!$A:$A</definedName>
    <definedName name="pb10cRDDcount">'[1]datapb 10cRDD-count'!$A:$B</definedName>
    <definedName name="pb10cRDDcount.">'[1]datapb 10cRDD-count'!$A:$A</definedName>
    <definedName name="pb10cRDDsum">'[1]datapb 10cRDD-sum'!$A:$B</definedName>
    <definedName name="pb10cRDDsum.">'[1]datapb 10cRDD-sum'!$A:$A</definedName>
    <definedName name="pb10cRPHcount">'[1]datapb 10cRPH-count'!$A:$B</definedName>
    <definedName name="pb10cRPHcount.">'[1]datapb 10cRPH-count'!$A:$A</definedName>
    <definedName name="pb10cRPHsum">'[1]datapb 10cRPH-sum'!$A:$B</definedName>
    <definedName name="pb10cRPHsum.">'[1]datapb 10cRPH-sum'!$A:$A</definedName>
    <definedName name="PHAN_DIEN_DZ0.4KV" localSheetId="0">#REF!</definedName>
    <definedName name="PHAN_DIEN_DZ0.4KV" localSheetId="1">#REF!</definedName>
    <definedName name="PHAN_DIEN_DZ0.4KV">#REF!</definedName>
    <definedName name="PHAN_DIEN_TBA" localSheetId="0">#REF!</definedName>
    <definedName name="PHAN_DIEN_TBA" localSheetId="1">#REF!</definedName>
    <definedName name="PHAN_DIEN_TBA">#REF!</definedName>
    <definedName name="PHAN_MUA_SAM_DZ0.4KV" localSheetId="0">#REF!</definedName>
    <definedName name="PHAN_MUA_SAM_DZ0.4KV" localSheetId="1">#REF!</definedName>
    <definedName name="PHAN_MUA_SAM_DZ0.4KV">#REF!</definedName>
    <definedName name="Phutho" localSheetId="0">#REF!</definedName>
    <definedName name="Phutho" localSheetId="1">#REF!</definedName>
    <definedName name="Phutho">#REF!</definedName>
    <definedName name="PRICE" localSheetId="0">#REF!</definedName>
    <definedName name="PRICE" localSheetId="1">#REF!</definedName>
    <definedName name="PRICE">#REF!</definedName>
    <definedName name="PRICE1" localSheetId="0">#REF!</definedName>
    <definedName name="PRICE1" localSheetId="1">#REF!</definedName>
    <definedName name="PRICE1">#REF!</definedName>
    <definedName name="_xlnm.Print_Area">#REF!</definedName>
    <definedName name="_xlnm.Print_Titles" localSheetId="0">'10a'!$5:$6</definedName>
    <definedName name="_xlnm.Print_Titles" localSheetId="1">'10b'!$4:$5</definedName>
    <definedName name="_xlnm.Print_Titles">#N/A</definedName>
    <definedName name="Print_Titles_MI" localSheetId="0">#REF!</definedName>
    <definedName name="Print_Titles_MI" localSheetId="1">#REF!</definedName>
    <definedName name="Print_Titles_MI">#REF!</definedName>
    <definedName name="PRINTA" localSheetId="0">#REF!</definedName>
    <definedName name="PRINTA" localSheetId="1">#REF!</definedName>
    <definedName name="PRINTA">#REF!</definedName>
    <definedName name="PRINTB" localSheetId="0">#REF!</definedName>
    <definedName name="PRINTB" localSheetId="1">#REF!</definedName>
    <definedName name="PRINTB">#REF!</definedName>
    <definedName name="PRINTC" localSheetId="0">#REF!</definedName>
    <definedName name="PRINTC" localSheetId="1">#REF!</definedName>
    <definedName name="PRINTC">#REF!</definedName>
    <definedName name="PROPOSAL" localSheetId="0">#REF!</definedName>
    <definedName name="PROPOSAL" localSheetId="1">#REF!</definedName>
    <definedName name="PROPOSAL">#REF!</definedName>
    <definedName name="PT_Duong" localSheetId="0">#REF!</definedName>
    <definedName name="PT_Duong" localSheetId="1">#REF!</definedName>
    <definedName name="PT_Duong">#REF!</definedName>
    <definedName name="PTDG_cau" localSheetId="0">#REF!</definedName>
    <definedName name="PTDG_cau" localSheetId="1">#REF!</definedName>
    <definedName name="PTDG_cau">#REF!</definedName>
    <definedName name="ptdg_cong" localSheetId="0">#REF!</definedName>
    <definedName name="ptdg_cong" localSheetId="1">#REF!</definedName>
    <definedName name="ptdg_cong">#REF!</definedName>
    <definedName name="ptdg_duong" localSheetId="0">#REF!</definedName>
    <definedName name="ptdg_duong" localSheetId="1">#REF!</definedName>
    <definedName name="ptdg_duong">#REF!</definedName>
    <definedName name="ptdg_ke" localSheetId="0">#REF!</definedName>
    <definedName name="ptdg_ke" localSheetId="1">#REF!</definedName>
    <definedName name="ptdg_ke">#REF!</definedName>
    <definedName name="q" localSheetId="0">#REF!</definedName>
    <definedName name="q" localSheetId="1">#REF!</definedName>
    <definedName name="q">#REF!</definedName>
    <definedName name="qtdm" localSheetId="0">#REF!</definedName>
    <definedName name="qtdm" localSheetId="1">#REF!</definedName>
    <definedName name="qtdm">#REF!</definedName>
    <definedName name="Quangninh" localSheetId="0">#REF!</definedName>
    <definedName name="Quangninh" localSheetId="1">#REF!</definedName>
    <definedName name="Quangninh">#REF!</definedName>
    <definedName name="ra11p" localSheetId="0">#REF!</definedName>
    <definedName name="ra11p" localSheetId="1">#REF!</definedName>
    <definedName name="ra11p">#REF!</definedName>
    <definedName name="ra13p" localSheetId="0">#REF!</definedName>
    <definedName name="ra13p" localSheetId="1">#REF!</definedName>
    <definedName name="ra13p">#REF!</definedName>
    <definedName name="RECOUT">#N/A</definedName>
    <definedName name="RFP003A" localSheetId="0">#REF!</definedName>
    <definedName name="RFP003A" localSheetId="1">#REF!</definedName>
    <definedName name="RFP003A">#REF!</definedName>
    <definedName name="RFP003B" localSheetId="0">#REF!</definedName>
    <definedName name="RFP003B" localSheetId="1">#REF!</definedName>
    <definedName name="RFP003B">#REF!</definedName>
    <definedName name="RFP003C" localSheetId="0">#REF!</definedName>
    <definedName name="RFP003C" localSheetId="1">#REF!</definedName>
    <definedName name="RFP003C">#REF!</definedName>
    <definedName name="RFP003D" localSheetId="0">#REF!</definedName>
    <definedName name="RFP003D" localSheetId="1">#REF!</definedName>
    <definedName name="RFP003D">#REF!</definedName>
    <definedName name="RFP003E" localSheetId="0">#REF!</definedName>
    <definedName name="RFP003E" localSheetId="1">#REF!</definedName>
    <definedName name="RFP003E">#REF!</definedName>
    <definedName name="RFP003F" localSheetId="0">#REF!</definedName>
    <definedName name="RFP003F" localSheetId="1">#REF!</definedName>
    <definedName name="RFP003F">#REF!</definedName>
    <definedName name="s" localSheetId="0">#REF!</definedName>
    <definedName name="s" localSheetId="1">#REF!</definedName>
    <definedName name="s">#REF!</definedName>
    <definedName name="satu" localSheetId="0">#REF!</definedName>
    <definedName name="satu" localSheetId="1">#REF!</definedName>
    <definedName name="satu">#REF!</definedName>
    <definedName name="scao98" localSheetId="0">#REF!</definedName>
    <definedName name="scao98" localSheetId="1">#REF!</definedName>
    <definedName name="scao98">#REF!</definedName>
    <definedName name="SCH" localSheetId="0">#REF!</definedName>
    <definedName name="SCH" localSheetId="1">#REF!</definedName>
    <definedName name="SCH">#REF!</definedName>
    <definedName name="SDMONG" localSheetId="0">#REF!</definedName>
    <definedName name="SDMONG" localSheetId="1">#REF!</definedName>
    <definedName name="SDMONG">#REF!</definedName>
    <definedName name="Sheet1" localSheetId="0">#REF!</definedName>
    <definedName name="Sheet1" localSheetId="1">#REF!</definedName>
    <definedName name="Sheet1">#REF!</definedName>
    <definedName name="sho" localSheetId="0">#REF!</definedName>
    <definedName name="sho" localSheetId="1">#REF!</definedName>
    <definedName name="sho">#REF!</definedName>
    <definedName name="sieucao" localSheetId="0">#REF!</definedName>
    <definedName name="sieucao" localSheetId="1">#REF!</definedName>
    <definedName name="sieucao">#REF!</definedName>
    <definedName name="SIZE" localSheetId="0">#REF!</definedName>
    <definedName name="SIZE" localSheetId="1">#REF!</definedName>
    <definedName name="SIZE">#REF!</definedName>
    <definedName name="SL_CRD" localSheetId="0">#REF!</definedName>
    <definedName name="SL_CRD" localSheetId="1">#REF!</definedName>
    <definedName name="SL_CRD">#REF!</definedName>
    <definedName name="SL_CRS" localSheetId="0">#REF!</definedName>
    <definedName name="SL_CRS" localSheetId="1">#REF!</definedName>
    <definedName name="SL_CRS">#REF!</definedName>
    <definedName name="SL_CS" localSheetId="0">#REF!</definedName>
    <definedName name="SL_CS" localSheetId="1">#REF!</definedName>
    <definedName name="SL_CS">#REF!</definedName>
    <definedName name="SL_DD" localSheetId="0">#REF!</definedName>
    <definedName name="SL_DD" localSheetId="1">#REF!</definedName>
    <definedName name="SL_DD">#REF!</definedName>
    <definedName name="soc3p" localSheetId="0">#REF!</definedName>
    <definedName name="soc3p" localSheetId="1">#REF!</definedName>
    <definedName name="soc3p">#REF!</definedName>
    <definedName name="Sonla" localSheetId="0">#REF!</definedName>
    <definedName name="Sonla" localSheetId="1">#REF!</definedName>
    <definedName name="Sonla">#REF!</definedName>
    <definedName name="SORT" localSheetId="0">#REF!</definedName>
    <definedName name="SORT" localSheetId="1">#REF!</definedName>
    <definedName name="SORT">#REF!</definedName>
    <definedName name="Spanner_Auto_File">"C:\My Documents\tinh cdo.x2a"</definedName>
    <definedName name="SPEC" localSheetId="0">#REF!</definedName>
    <definedName name="SPEC" localSheetId="1">#REF!</definedName>
    <definedName name="SPEC">#REF!</definedName>
    <definedName name="SPECSUMMARY" localSheetId="0">#REF!</definedName>
    <definedName name="SPECSUMMARY" localSheetId="1">#REF!</definedName>
    <definedName name="SPECSUMMARY">#REF!</definedName>
    <definedName name="Start_1" localSheetId="0">#REF!</definedName>
    <definedName name="Start_1" localSheetId="1">#REF!</definedName>
    <definedName name="Start_1">#REF!</definedName>
    <definedName name="Start_10" localSheetId="0">#REF!</definedName>
    <definedName name="Start_10" localSheetId="1">#REF!</definedName>
    <definedName name="Start_10">#REF!</definedName>
    <definedName name="Start_11" localSheetId="0">#REF!</definedName>
    <definedName name="Start_11" localSheetId="1">#REF!</definedName>
    <definedName name="Start_11">#REF!</definedName>
    <definedName name="Start_12" localSheetId="0">#REF!</definedName>
    <definedName name="Start_12" localSheetId="1">#REF!</definedName>
    <definedName name="Start_12">#REF!</definedName>
    <definedName name="Start_13" localSheetId="0">#REF!</definedName>
    <definedName name="Start_13" localSheetId="1">#REF!</definedName>
    <definedName name="Start_13">#REF!</definedName>
    <definedName name="Start_2" localSheetId="0">#REF!</definedName>
    <definedName name="Start_2" localSheetId="1">#REF!</definedName>
    <definedName name="Start_2">#REF!</definedName>
    <definedName name="Start_3" localSheetId="0">#REF!</definedName>
    <definedName name="Start_3" localSheetId="1">#REF!</definedName>
    <definedName name="Start_3">#REF!</definedName>
    <definedName name="Start_4" localSheetId="0">#REF!</definedName>
    <definedName name="Start_4" localSheetId="1">#REF!</definedName>
    <definedName name="Start_4">#REF!</definedName>
    <definedName name="Start_5" localSheetId="0">#REF!</definedName>
    <definedName name="Start_5" localSheetId="1">#REF!</definedName>
    <definedName name="Start_5">#REF!</definedName>
    <definedName name="Start_6" localSheetId="0">#REF!</definedName>
    <definedName name="Start_6" localSheetId="1">#REF!</definedName>
    <definedName name="Start_6">#REF!</definedName>
    <definedName name="Start_7" localSheetId="0">#REF!</definedName>
    <definedName name="Start_7" localSheetId="1">#REF!</definedName>
    <definedName name="Start_7">#REF!</definedName>
    <definedName name="Start_8" localSheetId="0">#REF!</definedName>
    <definedName name="Start_8" localSheetId="1">#REF!</definedName>
    <definedName name="Start_8">#REF!</definedName>
    <definedName name="Start_9" localSheetId="0">#REF!</definedName>
    <definedName name="Start_9" localSheetId="1">#REF!</definedName>
    <definedName name="Start_9">#REF!</definedName>
    <definedName name="Start10" localSheetId="0">#REF!</definedName>
    <definedName name="Start10" localSheetId="1">#REF!</definedName>
    <definedName name="Start10">#REF!</definedName>
    <definedName name="Start12" localSheetId="0">#REF!</definedName>
    <definedName name="Start12" localSheetId="1">#REF!</definedName>
    <definedName name="Start12">#REF!</definedName>
    <definedName name="Start13" localSheetId="0">#REF!</definedName>
    <definedName name="Start13" localSheetId="1">#REF!</definedName>
    <definedName name="Start13">#REF!</definedName>
    <definedName name="Start15" localSheetId="0">#REF!</definedName>
    <definedName name="Start15" localSheetId="1">#REF!</definedName>
    <definedName name="Start15">#REF!</definedName>
    <definedName name="Start16" localSheetId="0">#REF!</definedName>
    <definedName name="Start16" localSheetId="1">#REF!</definedName>
    <definedName name="Start16">#REF!</definedName>
    <definedName name="Start17" localSheetId="0">#REF!</definedName>
    <definedName name="Start17" localSheetId="1">#REF!</definedName>
    <definedName name="Start17">#REF!</definedName>
    <definedName name="Start18" localSheetId="0">#REF!</definedName>
    <definedName name="Start18" localSheetId="1">#REF!</definedName>
    <definedName name="Start18">#REF!</definedName>
    <definedName name="Start19" localSheetId="0">#REF!</definedName>
    <definedName name="Start19" localSheetId="1">#REF!</definedName>
    <definedName name="Start19">#REF!</definedName>
    <definedName name="Start2" localSheetId="0">[3]DMB!#REF!</definedName>
    <definedName name="Start2" localSheetId="1">[3]DMB!#REF!</definedName>
    <definedName name="Start2">[3]DMB!#REF!</definedName>
    <definedName name="Start20" localSheetId="0">#REF!</definedName>
    <definedName name="Start20" localSheetId="1">#REF!</definedName>
    <definedName name="Start20">#REF!</definedName>
    <definedName name="Start21" localSheetId="0">#REF!</definedName>
    <definedName name="Start21" localSheetId="1">#REF!</definedName>
    <definedName name="Start21">#REF!</definedName>
    <definedName name="Start22" localSheetId="0">#REF!</definedName>
    <definedName name="Start22" localSheetId="1">#REF!</definedName>
    <definedName name="Start22">#REF!</definedName>
    <definedName name="Start23" localSheetId="0">#REF!</definedName>
    <definedName name="Start23" localSheetId="1">#REF!</definedName>
    <definedName name="Start23">#REF!</definedName>
    <definedName name="Start24" localSheetId="0">#REF!</definedName>
    <definedName name="Start24" localSheetId="1">#REF!</definedName>
    <definedName name="Start24">#REF!</definedName>
    <definedName name="Start25" localSheetId="0">#REF!</definedName>
    <definedName name="Start25" localSheetId="1">#REF!</definedName>
    <definedName name="Start25">#REF!</definedName>
    <definedName name="Start26" localSheetId="0">#REF!</definedName>
    <definedName name="Start26" localSheetId="1">#REF!</definedName>
    <definedName name="Start26">#REF!</definedName>
    <definedName name="Start27" localSheetId="0">#REF!</definedName>
    <definedName name="Start27" localSheetId="1">#REF!</definedName>
    <definedName name="Start27">#REF!</definedName>
    <definedName name="Start29" localSheetId="0">#REF!</definedName>
    <definedName name="Start29" localSheetId="1">#REF!</definedName>
    <definedName name="Start29">#REF!</definedName>
    <definedName name="Start3" localSheetId="0">#REF!</definedName>
    <definedName name="Start3" localSheetId="1">#REF!</definedName>
    <definedName name="Start3">#REF!</definedName>
    <definedName name="Start30" localSheetId="0">#REF!</definedName>
    <definedName name="Start30" localSheetId="1">#REF!</definedName>
    <definedName name="Start30">#REF!</definedName>
    <definedName name="Start31" localSheetId="0">#REF!</definedName>
    <definedName name="Start31" localSheetId="1">#REF!</definedName>
    <definedName name="Start31">#REF!</definedName>
    <definedName name="Start32" localSheetId="0">#REF!</definedName>
    <definedName name="Start32" localSheetId="1">#REF!</definedName>
    <definedName name="Start32">#REF!</definedName>
    <definedName name="Start33" localSheetId="0">#REF!</definedName>
    <definedName name="Start33" localSheetId="1">#REF!</definedName>
    <definedName name="Start33">#REF!</definedName>
    <definedName name="Start34" localSheetId="0">#REF!</definedName>
    <definedName name="Start34" localSheetId="1">#REF!</definedName>
    <definedName name="Start34">#REF!</definedName>
    <definedName name="Start36" localSheetId="0">#REF!</definedName>
    <definedName name="Start36" localSheetId="1">#REF!</definedName>
    <definedName name="Start36">#REF!</definedName>
    <definedName name="Start37" localSheetId="0">#REF!</definedName>
    <definedName name="Start37" localSheetId="1">#REF!</definedName>
    <definedName name="Start37">#REF!</definedName>
    <definedName name="Start38" localSheetId="0">#REF!</definedName>
    <definedName name="Start38" localSheetId="1">#REF!</definedName>
    <definedName name="Start38">#REF!</definedName>
    <definedName name="Start39" localSheetId="0">#REF!</definedName>
    <definedName name="Start39" localSheetId="1">#REF!</definedName>
    <definedName name="Start39">#REF!</definedName>
    <definedName name="Start4" localSheetId="0">#REF!</definedName>
    <definedName name="Start4" localSheetId="1">#REF!</definedName>
    <definedName name="Start4">#REF!</definedName>
    <definedName name="Start40" localSheetId="0">#REF!</definedName>
    <definedName name="Start40" localSheetId="1">#REF!</definedName>
    <definedName name="Start40">#REF!</definedName>
    <definedName name="Start41" localSheetId="0">#REF!</definedName>
    <definedName name="Start41" localSheetId="1">#REF!</definedName>
    <definedName name="Start41">#REF!</definedName>
    <definedName name="Start42" localSheetId="0">#REF!</definedName>
    <definedName name="Start42" localSheetId="1">#REF!</definedName>
    <definedName name="Start42">#REF!</definedName>
    <definedName name="Start43" localSheetId="0">#REF!</definedName>
    <definedName name="Start43" localSheetId="1">#REF!</definedName>
    <definedName name="Start43">#REF!</definedName>
    <definedName name="Start44" localSheetId="0">#REF!</definedName>
    <definedName name="Start44" localSheetId="1">#REF!</definedName>
    <definedName name="Start44">#REF!</definedName>
    <definedName name="Start45" localSheetId="0">#REF!</definedName>
    <definedName name="Start45" localSheetId="1">#REF!</definedName>
    <definedName name="Start45">#REF!</definedName>
    <definedName name="Start46" localSheetId="0">#REF!</definedName>
    <definedName name="Start46" localSheetId="1">#REF!</definedName>
    <definedName name="Start46">#REF!</definedName>
    <definedName name="Start47" localSheetId="0">#REF!</definedName>
    <definedName name="Start47" localSheetId="1">#REF!</definedName>
    <definedName name="Start47">#REF!</definedName>
    <definedName name="Start48" localSheetId="0">#REF!</definedName>
    <definedName name="Start48" localSheetId="1">#REF!</definedName>
    <definedName name="Start48">#REF!</definedName>
    <definedName name="Start5" localSheetId="0">#REF!</definedName>
    <definedName name="Start5" localSheetId="1">#REF!</definedName>
    <definedName name="Start5">#REF!</definedName>
    <definedName name="Start6" localSheetId="0">#REF!</definedName>
    <definedName name="Start6" localSheetId="1">#REF!</definedName>
    <definedName name="Start6">#REF!</definedName>
    <definedName name="Start7" localSheetId="0">#REF!</definedName>
    <definedName name="Start7" localSheetId="1">#REF!</definedName>
    <definedName name="Start7">#REF!</definedName>
    <definedName name="Start8" localSheetId="0">#REF!</definedName>
    <definedName name="Start8" localSheetId="1">#REF!</definedName>
    <definedName name="Start8">#REF!</definedName>
    <definedName name="SUABIEU_CD" localSheetId="0">#REF!</definedName>
    <definedName name="SUABIEU_CD" localSheetId="1">#REF!</definedName>
    <definedName name="SUABIEU_CD">#REF!</definedName>
    <definedName name="SUMMARY" localSheetId="0">#REF!</definedName>
    <definedName name="SUMMARY" localSheetId="1">#REF!</definedName>
    <definedName name="SUMMARY">#REF!</definedName>
    <definedName name="sx" localSheetId="0">#REF!</definedName>
    <definedName name="sx" localSheetId="1">#REF!</definedName>
    <definedName name="sx">#REF!</definedName>
    <definedName name="t101p" localSheetId="0">#REF!</definedName>
    <definedName name="t101p" localSheetId="1">#REF!</definedName>
    <definedName name="t101p">#REF!</definedName>
    <definedName name="t103p" localSheetId="0">#REF!</definedName>
    <definedName name="t103p" localSheetId="1">#REF!</definedName>
    <definedName name="t103p">#REF!</definedName>
    <definedName name="t10nc1p" localSheetId="0">#REF!</definedName>
    <definedName name="t10nc1p" localSheetId="1">#REF!</definedName>
    <definedName name="t10nc1p">#REF!</definedName>
    <definedName name="t10vl1p" localSheetId="0">#REF!</definedName>
    <definedName name="t10vl1p" localSheetId="1">#REF!</definedName>
    <definedName name="t10vl1p">#REF!</definedName>
    <definedName name="t121p" localSheetId="0">#REF!</definedName>
    <definedName name="t121p" localSheetId="1">#REF!</definedName>
    <definedName name="t121p">#REF!</definedName>
    <definedName name="t123p" localSheetId="0">#REF!</definedName>
    <definedName name="t123p" localSheetId="1">#REF!</definedName>
    <definedName name="t123p">#REF!</definedName>
    <definedName name="t141p" localSheetId="0">#REF!</definedName>
    <definedName name="t141p" localSheetId="1">#REF!</definedName>
    <definedName name="t141p">#REF!</definedName>
    <definedName name="t143p" localSheetId="0">#REF!</definedName>
    <definedName name="t143p" localSheetId="1">#REF!</definedName>
    <definedName name="t143p">#REF!</definedName>
    <definedName name="t14nc3p" localSheetId="0">#REF!</definedName>
    <definedName name="t14nc3p" localSheetId="1">#REF!</definedName>
    <definedName name="t14nc3p">#REF!</definedName>
    <definedName name="t14vl3p" localSheetId="0">#REF!</definedName>
    <definedName name="t14vl3p" localSheetId="1">#REF!</definedName>
    <definedName name="t14vl3p">#REF!</definedName>
    <definedName name="TaxTV">10%</definedName>
    <definedName name="TaxXL">5%</definedName>
    <definedName name="Taynguyen" localSheetId="0">#REF!</definedName>
    <definedName name="Taynguyen" localSheetId="1">#REF!</definedName>
    <definedName name="Taynguyen">#REF!</definedName>
    <definedName name="taynguyne" localSheetId="0">#REF!</definedName>
    <definedName name="taynguyne" localSheetId="1">#REF!</definedName>
    <definedName name="taynguyne">#REF!</definedName>
    <definedName name="TBA" localSheetId="0">#REF!</definedName>
    <definedName name="TBA" localSheetId="1">#REF!</definedName>
    <definedName name="TBA">#REF!</definedName>
    <definedName name="tbtram" localSheetId="0">#REF!</definedName>
    <definedName name="tbtram" localSheetId="1">#REF!</definedName>
    <definedName name="tbtram">#REF!</definedName>
    <definedName name="TC" localSheetId="0">#REF!</definedName>
    <definedName name="TC" localSheetId="1">#REF!</definedName>
    <definedName name="TC">#REF!</definedName>
    <definedName name="TC_NHANH1" localSheetId="0">#REF!</definedName>
    <definedName name="TC_NHANH1" localSheetId="1">#REF!</definedName>
    <definedName name="TC_NHANH1">#REF!</definedName>
    <definedName name="Tchuan" localSheetId="0">#REF!</definedName>
    <definedName name="Tchuan" localSheetId="1">#REF!</definedName>
    <definedName name="Tchuan">#REF!</definedName>
    <definedName name="td1p" localSheetId="0">#REF!</definedName>
    <definedName name="td1p" localSheetId="1">#REF!</definedName>
    <definedName name="td1p">#REF!</definedName>
    <definedName name="td3p" localSheetId="0">#REF!</definedName>
    <definedName name="td3p" localSheetId="1">#REF!</definedName>
    <definedName name="td3p">#REF!</definedName>
    <definedName name="tdia" localSheetId="0">#REF!</definedName>
    <definedName name="tdia" localSheetId="1">#REF!</definedName>
    <definedName name="tdia">#REF!</definedName>
    <definedName name="tdnc1p" localSheetId="0">#REF!</definedName>
    <definedName name="tdnc1p" localSheetId="1">#REF!</definedName>
    <definedName name="tdnc1p">#REF!</definedName>
    <definedName name="tdt" localSheetId="0">#REF!</definedName>
    <definedName name="tdt" localSheetId="1">#REF!</definedName>
    <definedName name="tdt">#REF!</definedName>
    <definedName name="tdtr2cnc" localSheetId="0">#REF!</definedName>
    <definedName name="tdtr2cnc" localSheetId="1">#REF!</definedName>
    <definedName name="tdtr2cnc">#REF!</definedName>
    <definedName name="tdtr2cvl" localSheetId="0">#REF!</definedName>
    <definedName name="tdtr2cvl" localSheetId="1">#REF!</definedName>
    <definedName name="tdtr2cvl">#REF!</definedName>
    <definedName name="tdvl1p" localSheetId="0">#REF!</definedName>
    <definedName name="tdvl1p" localSheetId="1">#REF!</definedName>
    <definedName name="tdvl1p">#REF!</definedName>
    <definedName name="th" localSheetId="0">#REF!</definedName>
    <definedName name="th" localSheetId="1">#REF!</definedName>
    <definedName name="th">#REF!</definedName>
    <definedName name="Thainguyen" localSheetId="0">#REF!</definedName>
    <definedName name="Thainguyen" localSheetId="1">#REF!</definedName>
    <definedName name="Thainguyen">#REF!</definedName>
    <definedName name="thdt" localSheetId="0">#REF!</definedName>
    <definedName name="thdt" localSheetId="1">#REF!</definedName>
    <definedName name="thdt">#REF!</definedName>
    <definedName name="thepma">10500</definedName>
    <definedName name="THGO1pnc" localSheetId="0">#REF!</definedName>
    <definedName name="THGO1pnc" localSheetId="1">#REF!</definedName>
    <definedName name="THGO1pnc">#REF!</definedName>
    <definedName name="thht" localSheetId="0">#REF!</definedName>
    <definedName name="thht" localSheetId="1">#REF!</definedName>
    <definedName name="thht">#REF!</definedName>
    <definedName name="THI" localSheetId="0">#REF!</definedName>
    <definedName name="THI" localSheetId="1">#REF!</definedName>
    <definedName name="THI">#REF!</definedName>
    <definedName name="thkp3" localSheetId="0">#REF!</definedName>
    <definedName name="thkp3" localSheetId="1">#REF!</definedName>
    <definedName name="thkp3">#REF!</definedName>
    <definedName name="thtt" localSheetId="0">#REF!</definedName>
    <definedName name="thtt" localSheetId="1">#REF!</definedName>
    <definedName name="thtt">#REF!</definedName>
    <definedName name="thuhoicount">'[2]data-thuhoi-count'!$A:$E</definedName>
    <definedName name="thuhoicount.">'[2]data-thuhoi-count'!$A:$A</definedName>
    <definedName name="thuhoisum">'[2]data-thuhoi-sum'!$A:$E</definedName>
    <definedName name="thuhoisum.">'[2]data-thuhoi-sum'!$A:$A</definedName>
    <definedName name="Tien" localSheetId="0">#REF!</definedName>
    <definedName name="Tien" localSheetId="1">#REF!</definedName>
    <definedName name="Tien">#REF!</definedName>
    <definedName name="TIENLUONG" localSheetId="0">#REF!</definedName>
    <definedName name="TIENLUONG" localSheetId="1">#REF!</definedName>
    <definedName name="TIENLUONG">#REF!</definedName>
    <definedName name="Tiepdiama">9500</definedName>
    <definedName name="TIEU_HAO_VAT_TU_DZ0.4KV" localSheetId="0">#REF!</definedName>
    <definedName name="TIEU_HAO_VAT_TU_DZ0.4KV" localSheetId="1">#REF!</definedName>
    <definedName name="TIEU_HAO_VAT_TU_DZ0.4KV">#REF!</definedName>
    <definedName name="TIEU_HAO_VAT_TU_DZ22KV" localSheetId="0">#REF!</definedName>
    <definedName name="TIEU_HAO_VAT_TU_DZ22KV" localSheetId="1">#REF!</definedName>
    <definedName name="TIEU_HAO_VAT_TU_DZ22KV">#REF!</definedName>
    <definedName name="TIEU_HAO_VAT_TU_TBA" localSheetId="0">#REF!</definedName>
    <definedName name="TIEU_HAO_VAT_TU_TBA" localSheetId="1">#REF!</definedName>
    <definedName name="TIEU_HAO_VAT_TU_TBA">#REF!</definedName>
    <definedName name="tim_xuat_hien" localSheetId="0">#REF!</definedName>
    <definedName name="tim_xuat_hien" localSheetId="1">#REF!</definedName>
    <definedName name="tim_xuat_hien">#REF!</definedName>
    <definedName name="TITAN" localSheetId="0">#REF!</definedName>
    <definedName name="TITAN" localSheetId="1">#REF!</definedName>
    <definedName name="TITAN">#REF!</definedName>
    <definedName name="tk" localSheetId="0">#REF!</definedName>
    <definedName name="tk" localSheetId="1">#REF!</definedName>
    <definedName name="tk">#REF!</definedName>
    <definedName name="tki" localSheetId="0">#REF!</definedName>
    <definedName name="tki" localSheetId="1">#REF!</definedName>
    <definedName name="tki">#REF!</definedName>
    <definedName name="TKP" localSheetId="0">#REF!</definedName>
    <definedName name="TKP" localSheetId="1">#REF!</definedName>
    <definedName name="TKP">#REF!</definedName>
    <definedName name="TL" localSheetId="0">#REF!</definedName>
    <definedName name="TL" localSheetId="1">#REF!</definedName>
    <definedName name="TL">#REF!</definedName>
    <definedName name="TLAC120" localSheetId="0">#REF!</definedName>
    <definedName name="TLAC120" localSheetId="1">#REF!</definedName>
    <definedName name="TLAC120">#REF!</definedName>
    <definedName name="TLAC35" localSheetId="0">#REF!</definedName>
    <definedName name="TLAC35" localSheetId="1">#REF!</definedName>
    <definedName name="TLAC35">#REF!</definedName>
    <definedName name="TLAC50" localSheetId="0">#REF!</definedName>
    <definedName name="TLAC50" localSheetId="1">#REF!</definedName>
    <definedName name="TLAC50">#REF!</definedName>
    <definedName name="TLAC70" localSheetId="0">#REF!</definedName>
    <definedName name="TLAC70" localSheetId="1">#REF!</definedName>
    <definedName name="TLAC70">#REF!</definedName>
    <definedName name="TLAC95" localSheetId="0">#REF!</definedName>
    <definedName name="TLAC95" localSheetId="1">#REF!</definedName>
    <definedName name="TLAC95">#REF!</definedName>
    <definedName name="TONG_GIA_TRI_CONG_TRINH" localSheetId="0">#REF!</definedName>
    <definedName name="TONG_GIA_TRI_CONG_TRINH" localSheetId="1">#REF!</definedName>
    <definedName name="TONG_GIA_TRI_CONG_TRINH">#REF!</definedName>
    <definedName name="TONG_HOP_THI_NGHIEM_DZ0.4KV" localSheetId="0">#REF!</definedName>
    <definedName name="TONG_HOP_THI_NGHIEM_DZ0.4KV" localSheetId="1">#REF!</definedName>
    <definedName name="TONG_HOP_THI_NGHIEM_DZ0.4KV">#REF!</definedName>
    <definedName name="TONG_HOP_THI_NGHIEM_DZ22KV" localSheetId="0">#REF!</definedName>
    <definedName name="TONG_HOP_THI_NGHIEM_DZ22KV" localSheetId="1">#REF!</definedName>
    <definedName name="TONG_HOP_THI_NGHIEM_DZ22KV">#REF!</definedName>
    <definedName name="TONG_KE_TBA" localSheetId="0">#REF!</definedName>
    <definedName name="TONG_KE_TBA" localSheetId="1">#REF!</definedName>
    <definedName name="TONG_KE_TBA">#REF!</definedName>
    <definedName name="Tphcm" localSheetId="0">#REF!</definedName>
    <definedName name="Tphcm" localSheetId="1">#REF!</definedName>
    <definedName name="Tphcm">#REF!</definedName>
    <definedName name="TPLRP" localSheetId="0">#REF!</definedName>
    <definedName name="TPLRP" localSheetId="1">#REF!</definedName>
    <definedName name="TPLRP">#REF!</definedName>
    <definedName name="Tra_Cot" localSheetId="0">#REF!</definedName>
    <definedName name="Tra_Cot" localSheetId="1">#REF!</definedName>
    <definedName name="Tra_Cot">#REF!</definedName>
    <definedName name="Tra_DM_su_dung" localSheetId="0">#REF!</definedName>
    <definedName name="Tra_DM_su_dung" localSheetId="1">#REF!</definedName>
    <definedName name="Tra_DM_su_dung">#REF!</definedName>
    <definedName name="Tra_don_gia_KS" localSheetId="0">#REF!</definedName>
    <definedName name="Tra_don_gia_KS" localSheetId="1">#REF!</definedName>
    <definedName name="Tra_don_gia_KS">#REF!</definedName>
    <definedName name="Tra_DTCT" localSheetId="0">#REF!</definedName>
    <definedName name="Tra_DTCT" localSheetId="1">#REF!</definedName>
    <definedName name="Tra_DTCT">#REF!</definedName>
    <definedName name="Tra_ten_cong" localSheetId="0">#REF!</definedName>
    <definedName name="Tra_ten_cong" localSheetId="1">#REF!</definedName>
    <definedName name="Tra_ten_cong">#REF!</definedName>
    <definedName name="Tra_tim_hang_mucPT_trung" localSheetId="0">#REF!</definedName>
    <definedName name="Tra_tim_hang_mucPT_trung" localSheetId="1">#REF!</definedName>
    <definedName name="Tra_tim_hang_mucPT_trung">#REF!</definedName>
    <definedName name="TRADE2" localSheetId="0">#REF!</definedName>
    <definedName name="TRADE2" localSheetId="1">#REF!</definedName>
    <definedName name="TRADE2">#REF!</definedName>
    <definedName name="trt" localSheetId="0">#REF!</definedName>
    <definedName name="trt" localSheetId="1">#REF!</definedName>
    <definedName name="trt">#REF!</definedName>
    <definedName name="TRubo" localSheetId="0">#REF!</definedName>
    <definedName name="TRubo" localSheetId="1">#REF!</definedName>
    <definedName name="TRubo">#REF!</definedName>
    <definedName name="TRungbo" localSheetId="0">#REF!</definedName>
    <definedName name="TRungbo" localSheetId="1">#REF!</definedName>
    <definedName name="TRungbo">#REF!</definedName>
    <definedName name="TT" hidden="1">{#N/A,#N/A,FALSE,"Chi tiÆt"}</definedName>
    <definedName name="TT_1P" localSheetId="0">#REF!</definedName>
    <definedName name="TT_1P" localSheetId="1">#REF!</definedName>
    <definedName name="TT_1P">#REF!</definedName>
    <definedName name="TT_3p" localSheetId="0">#REF!</definedName>
    <definedName name="TT_3p" localSheetId="1">#REF!</definedName>
    <definedName name="TT_3p">#REF!</definedName>
    <definedName name="ttbt" localSheetId="0">#REF!</definedName>
    <definedName name="ttbt" localSheetId="1">#REF!</definedName>
    <definedName name="ttbt">#REF!</definedName>
    <definedName name="tthi" localSheetId="0">#REF!</definedName>
    <definedName name="tthi" localSheetId="1">#REF!</definedName>
    <definedName name="tthi">#REF!</definedName>
    <definedName name="ttronmk" localSheetId="0">#REF!</definedName>
    <definedName name="ttronmk" localSheetId="1">#REF!</definedName>
    <definedName name="ttronmk">#REF!</definedName>
    <definedName name="TuDo">{"Thuxm2.xls","Sheet1"}</definedName>
    <definedName name="Tuong" hidden="1">{"'Sheet1'!$L$16"}</definedName>
    <definedName name="tv75nc" localSheetId="0">#REF!</definedName>
    <definedName name="tv75nc" localSheetId="1">#REF!</definedName>
    <definedName name="tv75nc">#REF!</definedName>
    <definedName name="tv75vl" localSheetId="0">#REF!</definedName>
    <definedName name="tv75vl" localSheetId="1">#REF!</definedName>
    <definedName name="tv75vl">#REF!</definedName>
    <definedName name="ty_le" localSheetId="0">#REF!</definedName>
    <definedName name="ty_le" localSheetId="1">#REF!</definedName>
    <definedName name="ty_le">#REF!</definedName>
    <definedName name="ty_le_BTN" localSheetId="0">#REF!</definedName>
    <definedName name="ty_le_BTN" localSheetId="1">#REF!</definedName>
    <definedName name="ty_le_BTN">#REF!</definedName>
    <definedName name="Ty_le1" localSheetId="0">#REF!</definedName>
    <definedName name="Ty_le1" localSheetId="1">#REF!</definedName>
    <definedName name="Ty_le1">#REF!</definedName>
    <definedName name="va" localSheetId="0">#REF!</definedName>
    <definedName name="va" localSheetId="1">#REF!</definedName>
    <definedName name="va">#REF!</definedName>
    <definedName name="VAN_CHUYEN_DUONG_DAI_DZ0.4KV" localSheetId="0">#REF!</definedName>
    <definedName name="VAN_CHUYEN_DUONG_DAI_DZ0.4KV" localSheetId="1">#REF!</definedName>
    <definedName name="VAN_CHUYEN_DUONG_DAI_DZ0.4KV">#REF!</definedName>
    <definedName name="VAN_CHUYEN_DUONG_DAI_DZ22KV" localSheetId="0">#REF!</definedName>
    <definedName name="VAN_CHUYEN_DUONG_DAI_DZ22KV" localSheetId="1">#REF!</definedName>
    <definedName name="VAN_CHUYEN_DUONG_DAI_DZ22KV">#REF!</definedName>
    <definedName name="VAN_CHUYEN_VAT_TU_CHUNG" localSheetId="0">#REF!</definedName>
    <definedName name="VAN_CHUYEN_VAT_TU_CHUNG" localSheetId="1">#REF!</definedName>
    <definedName name="VAN_CHUYEN_VAT_TU_CHUNG">#REF!</definedName>
    <definedName name="VAN_TRUNG_CHUYEN_VAT_TU_CHUNG" localSheetId="0">#REF!</definedName>
    <definedName name="VAN_TRUNG_CHUYEN_VAT_TU_CHUNG" localSheetId="1">#REF!</definedName>
    <definedName name="VAN_TRUNG_CHUYEN_VAT_TU_CHUNG">#REF!</definedName>
    <definedName name="VARIINST" localSheetId="0">#REF!</definedName>
    <definedName name="VARIINST" localSheetId="1">#REF!</definedName>
    <definedName name="VARIINST">#REF!</definedName>
    <definedName name="VARIPURC" localSheetId="0">#REF!</definedName>
    <definedName name="VARIPURC" localSheetId="1">#REF!</definedName>
    <definedName name="VARIPURC">#REF!</definedName>
    <definedName name="VAT" localSheetId="0">#REF!</definedName>
    <definedName name="VAT" localSheetId="1">#REF!</definedName>
    <definedName name="VAT">#REF!</definedName>
    <definedName name="VAT_LIEU_DEN_CHAN_CONG_TRINH" localSheetId="0">#REF!</definedName>
    <definedName name="VAT_LIEU_DEN_CHAN_CONG_TRINH" localSheetId="1">#REF!</definedName>
    <definedName name="VAT_LIEU_DEN_CHAN_CONG_TRINH">#REF!</definedName>
    <definedName name="vccot" localSheetId="0">#REF!</definedName>
    <definedName name="vccot" localSheetId="1">#REF!</definedName>
    <definedName name="vccot">#REF!</definedName>
    <definedName name="VCHT" localSheetId="0">#REF!</definedName>
    <definedName name="VCHT" localSheetId="1">#REF!</definedName>
    <definedName name="VCHT">#REF!</definedName>
    <definedName name="vctb" localSheetId="0">#REF!</definedName>
    <definedName name="vctb" localSheetId="1">#REF!</definedName>
    <definedName name="vctb">#REF!</definedName>
    <definedName name="vd" localSheetId="0">#REF!</definedName>
    <definedName name="vd" localSheetId="1">#REF!</definedName>
    <definedName name="vd">#REF!</definedName>
    <definedName name="vd3p" localSheetId="0">#REF!</definedName>
    <definedName name="vd3p" localSheetId="1">#REF!</definedName>
    <definedName name="vd3p">#REF!</definedName>
    <definedName name="Vinhphuc" localSheetId="0">#REF!</definedName>
    <definedName name="Vinhphuc" localSheetId="1">#REF!</definedName>
    <definedName name="Vinhphuc">#REF!</definedName>
    <definedName name="VL" localSheetId="0">#REF!</definedName>
    <definedName name="VL" localSheetId="1">#REF!</definedName>
    <definedName name="VL">#REF!</definedName>
    <definedName name="vl1p" localSheetId="0">#REF!</definedName>
    <definedName name="vl1p" localSheetId="1">#REF!</definedName>
    <definedName name="vl1p">#REF!</definedName>
    <definedName name="vl3p" localSheetId="0">#REF!</definedName>
    <definedName name="vl3p" localSheetId="1">#REF!</definedName>
    <definedName name="vl3p">#REF!</definedName>
    <definedName name="Vlcap0.7" localSheetId="0">#REF!</definedName>
    <definedName name="Vlcap0.7" localSheetId="1">#REF!</definedName>
    <definedName name="Vlcap0.7">#REF!</definedName>
    <definedName name="VLcap1" localSheetId="0">#REF!</definedName>
    <definedName name="VLcap1" localSheetId="1">#REF!</definedName>
    <definedName name="VLcap1">#REF!</definedName>
    <definedName name="vldg" localSheetId="0">#REF!</definedName>
    <definedName name="vldg" localSheetId="1">#REF!</definedName>
    <definedName name="vldg">#REF!</definedName>
    <definedName name="vldn400" localSheetId="0">#REF!</definedName>
    <definedName name="vldn400" localSheetId="1">#REF!</definedName>
    <definedName name="vldn400">#REF!</definedName>
    <definedName name="vldn600" localSheetId="0">#REF!</definedName>
    <definedName name="vldn600" localSheetId="1">#REF!</definedName>
    <definedName name="vldn600">#REF!</definedName>
    <definedName name="VLIEU" localSheetId="0">#REF!</definedName>
    <definedName name="VLIEU" localSheetId="1">#REF!</definedName>
    <definedName name="VLIEU">#REF!</definedName>
    <definedName name="VLM" localSheetId="0">#REF!</definedName>
    <definedName name="VLM" localSheetId="1">#REF!</definedName>
    <definedName name="VLM">#REF!</definedName>
    <definedName name="vltram" localSheetId="0">#REF!</definedName>
    <definedName name="vltram" localSheetId="1">#REF!</definedName>
    <definedName name="vltram">#REF!</definedName>
    <definedName name="vr3p" localSheetId="0">#REF!</definedName>
    <definedName name="vr3p" localSheetId="1">#REF!</definedName>
    <definedName name="vr3p">#REF!</definedName>
    <definedName name="VUNGTB" hidden="1">{"'Sheet1'!$L$16"}</definedName>
    <definedName name="W" localSheetId="0">#REF!</definedName>
    <definedName name="W" localSheetId="1">#REF!</definedName>
    <definedName name="W">#REF!</definedName>
    <definedName name="wrn.chi._.tiÆt." hidden="1">{#N/A,#N/A,FALSE,"Chi tiÆt"}</definedName>
    <definedName name="X" localSheetId="0">#REF!</definedName>
    <definedName name="X" localSheetId="1">#REF!</definedName>
    <definedName name="X">#REF!</definedName>
    <definedName name="x1pind" localSheetId="0">#REF!</definedName>
    <definedName name="x1pind" localSheetId="1">#REF!</definedName>
    <definedName name="x1pind">#REF!</definedName>
    <definedName name="x1ping" localSheetId="0">#REF!</definedName>
    <definedName name="x1ping" localSheetId="1">#REF!</definedName>
    <definedName name="x1ping">#REF!</definedName>
    <definedName name="x1pint" localSheetId="0">#REF!</definedName>
    <definedName name="x1pint" localSheetId="1">#REF!</definedName>
    <definedName name="x1pint">#REF!</definedName>
    <definedName name="XB_80" localSheetId="0">#REF!</definedName>
    <definedName name="XB_80" localSheetId="1">#REF!</definedName>
    <definedName name="XB_80">#REF!</definedName>
    <definedName name="XCCT">0.5</definedName>
    <definedName name="xd0.6" localSheetId="0">#REF!</definedName>
    <definedName name="xd0.6" localSheetId="1">#REF!</definedName>
    <definedName name="xd0.6">#REF!</definedName>
    <definedName name="xd1.3" localSheetId="0">#REF!</definedName>
    <definedName name="xd1.3" localSheetId="1">#REF!</definedName>
    <definedName name="xd1.3">#REF!</definedName>
    <definedName name="xd1.5" localSheetId="0">#REF!</definedName>
    <definedName name="xd1.5" localSheetId="1">#REF!</definedName>
    <definedName name="xd1.5">#REF!</definedName>
    <definedName name="xfco" localSheetId="0">#REF!</definedName>
    <definedName name="xfco" localSheetId="1">#REF!</definedName>
    <definedName name="xfco">#REF!</definedName>
    <definedName name="xfco3p" localSheetId="0">#REF!</definedName>
    <definedName name="xfco3p" localSheetId="1">#REF!</definedName>
    <definedName name="xfco3p">#REF!</definedName>
    <definedName name="xfcotnc" localSheetId="0">#REF!</definedName>
    <definedName name="xfcotnc" localSheetId="1">#REF!</definedName>
    <definedName name="xfcotnc">#REF!</definedName>
    <definedName name="xfcotvl" localSheetId="0">#REF!</definedName>
    <definedName name="xfcotvl" localSheetId="1">#REF!</definedName>
    <definedName name="xfcotvl">#REF!</definedName>
    <definedName name="xh" localSheetId="0">#REF!</definedName>
    <definedName name="xh" localSheetId="1">#REF!</definedName>
    <definedName name="xh">#REF!</definedName>
    <definedName name="xhn" localSheetId="0">#REF!</definedName>
    <definedName name="xhn" localSheetId="1">#REF!</definedName>
    <definedName name="xhn">#REF!</definedName>
    <definedName name="xig" localSheetId="0">#REF!</definedName>
    <definedName name="xig" localSheetId="1">#REF!</definedName>
    <definedName name="xig">#REF!</definedName>
    <definedName name="xig1" localSheetId="0">#REF!</definedName>
    <definedName name="xig1" localSheetId="1">#REF!</definedName>
    <definedName name="xig1">#REF!</definedName>
    <definedName name="xig1p" localSheetId="0">#REF!</definedName>
    <definedName name="xig1p" localSheetId="1">#REF!</definedName>
    <definedName name="xig1p">#REF!</definedName>
    <definedName name="xig3p" localSheetId="0">#REF!</definedName>
    <definedName name="xig3p" localSheetId="1">#REF!</definedName>
    <definedName name="xig3p">#REF!</definedName>
    <definedName name="xignc3p" localSheetId="0">#REF!</definedName>
    <definedName name="xignc3p" localSheetId="1">#REF!</definedName>
    <definedName name="xignc3p">#REF!</definedName>
    <definedName name="xigvl3p" localSheetId="0">#REF!</definedName>
    <definedName name="xigvl3p" localSheetId="1">#REF!</definedName>
    <definedName name="xigvl3p">#REF!</definedName>
    <definedName name="xin" localSheetId="0">#REF!</definedName>
    <definedName name="xin" localSheetId="1">#REF!</definedName>
    <definedName name="xin">#REF!</definedName>
    <definedName name="xin190" localSheetId="0">#REF!</definedName>
    <definedName name="xin190" localSheetId="1">#REF!</definedName>
    <definedName name="xin190">#REF!</definedName>
    <definedName name="xin1903p" localSheetId="0">#REF!</definedName>
    <definedName name="xin1903p" localSheetId="1">#REF!</definedName>
    <definedName name="xin1903p">#REF!</definedName>
    <definedName name="xin2903p" localSheetId="0">#REF!</definedName>
    <definedName name="xin2903p" localSheetId="1">#REF!</definedName>
    <definedName name="xin2903p">#REF!</definedName>
    <definedName name="xin290nc3p" localSheetId="0">#REF!</definedName>
    <definedName name="xin290nc3p" localSheetId="1">#REF!</definedName>
    <definedName name="xin290nc3p">#REF!</definedName>
    <definedName name="xin290vl3p" localSheetId="0">#REF!</definedName>
    <definedName name="xin290vl3p" localSheetId="1">#REF!</definedName>
    <definedName name="xin290vl3p">#REF!</definedName>
    <definedName name="xin3p" localSheetId="0">#REF!</definedName>
    <definedName name="xin3p" localSheetId="1">#REF!</definedName>
    <definedName name="xin3p">#REF!</definedName>
    <definedName name="xind" localSheetId="0">#REF!</definedName>
    <definedName name="xind" localSheetId="1">#REF!</definedName>
    <definedName name="xind">#REF!</definedName>
    <definedName name="xind1p" localSheetId="0">#REF!</definedName>
    <definedName name="xind1p" localSheetId="1">#REF!</definedName>
    <definedName name="xind1p">#REF!</definedName>
    <definedName name="xind3p" localSheetId="0">#REF!</definedName>
    <definedName name="xind3p" localSheetId="1">#REF!</definedName>
    <definedName name="xind3p">#REF!</definedName>
    <definedName name="xindnc1p" localSheetId="0">#REF!</definedName>
    <definedName name="xindnc1p" localSheetId="1">#REF!</definedName>
    <definedName name="xindnc1p">#REF!</definedName>
    <definedName name="xindvl1p" localSheetId="0">#REF!</definedName>
    <definedName name="xindvl1p" localSheetId="1">#REF!</definedName>
    <definedName name="xindvl1p">#REF!</definedName>
    <definedName name="xing1p" localSheetId="0">#REF!</definedName>
    <definedName name="xing1p" localSheetId="1">#REF!</definedName>
    <definedName name="xing1p">#REF!</definedName>
    <definedName name="xingnc1p" localSheetId="0">#REF!</definedName>
    <definedName name="xingnc1p" localSheetId="1">#REF!</definedName>
    <definedName name="xingnc1p">#REF!</definedName>
    <definedName name="xingvl1p" localSheetId="0">#REF!</definedName>
    <definedName name="xingvl1p" localSheetId="1">#REF!</definedName>
    <definedName name="xingvl1p">#REF!</definedName>
    <definedName name="xinnc3p" localSheetId="0">#REF!</definedName>
    <definedName name="xinnc3p" localSheetId="1">#REF!</definedName>
    <definedName name="xinnc3p">#REF!</definedName>
    <definedName name="xint1p" localSheetId="0">#REF!</definedName>
    <definedName name="xint1p" localSheetId="1">#REF!</definedName>
    <definedName name="xint1p">#REF!</definedName>
    <definedName name="xinvl3p" localSheetId="0">#REF!</definedName>
    <definedName name="xinvl3p" localSheetId="1">#REF!</definedName>
    <definedName name="xinvl3p">#REF!</definedName>
    <definedName name="xit" localSheetId="0">#REF!</definedName>
    <definedName name="xit" localSheetId="1">#REF!</definedName>
    <definedName name="xit">#REF!</definedName>
    <definedName name="xit1" localSheetId="0">#REF!</definedName>
    <definedName name="xit1" localSheetId="1">#REF!</definedName>
    <definedName name="xit1">#REF!</definedName>
    <definedName name="xit1p" localSheetId="0">#REF!</definedName>
    <definedName name="xit1p" localSheetId="1">#REF!</definedName>
    <definedName name="xit1p">#REF!</definedName>
    <definedName name="xit2nc3p" localSheetId="0">#REF!</definedName>
    <definedName name="xit2nc3p" localSheetId="1">#REF!</definedName>
    <definedName name="xit2nc3p">#REF!</definedName>
    <definedName name="xit2vl3p" localSheetId="0">#REF!</definedName>
    <definedName name="xit2vl3p" localSheetId="1">#REF!</definedName>
    <definedName name="xit2vl3p">#REF!</definedName>
    <definedName name="xit3p" localSheetId="0">#REF!</definedName>
    <definedName name="xit3p" localSheetId="1">#REF!</definedName>
    <definedName name="xit3p">#REF!</definedName>
    <definedName name="xitnc3p" localSheetId="0">#REF!</definedName>
    <definedName name="xitnc3p" localSheetId="1">#REF!</definedName>
    <definedName name="xitnc3p">#REF!</definedName>
    <definedName name="xitvl3p" localSheetId="0">#REF!</definedName>
    <definedName name="xitvl3p" localSheetId="1">#REF!</definedName>
    <definedName name="xitvl3p">#REF!</definedName>
    <definedName name="xk0.6" localSheetId="0">#REF!</definedName>
    <definedName name="xk0.6" localSheetId="1">#REF!</definedName>
    <definedName name="xk0.6">#REF!</definedName>
    <definedName name="xk1.3" localSheetId="0">#REF!</definedName>
    <definedName name="xk1.3" localSheetId="1">#REF!</definedName>
    <definedName name="xk1.3">#REF!</definedName>
    <definedName name="xk1.5" localSheetId="0">#REF!</definedName>
    <definedName name="xk1.5" localSheetId="1">#REF!</definedName>
    <definedName name="xk1.5">#REF!</definedName>
    <definedName name="xl" localSheetId="0">#REF!</definedName>
    <definedName name="xl" localSheetId="1">#REF!</definedName>
    <definedName name="xl">#REF!</definedName>
    <definedName name="xlc" localSheetId="0">#REF!</definedName>
    <definedName name="xlc" localSheetId="1">#REF!</definedName>
    <definedName name="xlc">#REF!</definedName>
    <definedName name="xld1.4" localSheetId="0">#REF!</definedName>
    <definedName name="xld1.4" localSheetId="1">#REF!</definedName>
    <definedName name="xld1.4">#REF!</definedName>
    <definedName name="xlk" localSheetId="0">#REF!</definedName>
    <definedName name="xlk" localSheetId="1">#REF!</definedName>
    <definedName name="xlk">#REF!</definedName>
    <definedName name="xlk1.4" localSheetId="0">#REF!</definedName>
    <definedName name="xlk1.4" localSheetId="1">#REF!</definedName>
    <definedName name="xlk1.4">#REF!</definedName>
    <definedName name="xn" localSheetId="0">#REF!</definedName>
    <definedName name="xn" localSheetId="1">#REF!</definedName>
    <definedName name="xn">#REF!</definedName>
    <definedName name="Yenbai" localSheetId="0">#REF!</definedName>
    <definedName name="Yenbai" localSheetId="1">#REF!</definedName>
    <definedName name="Yenbai">#REF!</definedName>
    <definedName name="ZYX" localSheetId="0">#REF!</definedName>
    <definedName name="ZYX" localSheetId="1">#REF!</definedName>
    <definedName name="ZYX">#REF!</definedName>
    <definedName name="ZZZ" localSheetId="0">#REF!</definedName>
    <definedName name="ZZZ" localSheetId="1">#REF!</definedName>
    <definedName name="ZZZ">#REF!</definedName>
  </definedName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0" i="6"/>
  <c r="H60"/>
  <c r="I60"/>
  <c r="G49"/>
  <c r="H49"/>
  <c r="I49"/>
  <c r="I48" s="1"/>
  <c r="G48"/>
  <c r="G44"/>
  <c r="H44"/>
  <c r="I44"/>
  <c r="F44"/>
  <c r="K8"/>
  <c r="G66" i="7"/>
  <c r="H66"/>
  <c r="I66"/>
  <c r="J66"/>
  <c r="I13"/>
  <c r="I12"/>
  <c r="H48" i="6" l="1"/>
  <c r="G37" i="7"/>
  <c r="H37"/>
  <c r="I37"/>
  <c r="F37"/>
  <c r="J40"/>
  <c r="G56" l="1"/>
  <c r="H56"/>
  <c r="F56"/>
  <c r="G14" l="1"/>
  <c r="H14"/>
  <c r="I14"/>
  <c r="F14"/>
  <c r="G9" i="6"/>
  <c r="H9"/>
  <c r="I9"/>
  <c r="I8" s="1"/>
  <c r="F9"/>
  <c r="J24" i="7"/>
  <c r="G7"/>
  <c r="H7"/>
  <c r="F7"/>
  <c r="J19" i="6"/>
  <c r="J18"/>
  <c r="J17"/>
  <c r="J16"/>
  <c r="J23" i="7"/>
  <c r="J14" i="6"/>
  <c r="J15"/>
  <c r="J13"/>
  <c r="I82" l="1"/>
  <c r="I7"/>
  <c r="J32" i="7"/>
  <c r="J52" l="1"/>
  <c r="J64" i="6"/>
  <c r="J11"/>
  <c r="J77"/>
  <c r="J15" i="7"/>
  <c r="J76" i="6"/>
  <c r="J10"/>
  <c r="G63" i="7" l="1"/>
  <c r="H63"/>
  <c r="F63"/>
  <c r="J65"/>
  <c r="J63" s="1"/>
  <c r="J9"/>
  <c r="J22" l="1"/>
  <c r="J21"/>
  <c r="J21" i="6"/>
  <c r="J20"/>
  <c r="G73" l="1"/>
  <c r="H73"/>
  <c r="F73"/>
  <c r="J78"/>
  <c r="J79"/>
  <c r="J44" i="7"/>
  <c r="J43"/>
  <c r="J75" i="6"/>
  <c r="G6" i="7"/>
  <c r="H6"/>
  <c r="F6"/>
  <c r="G59"/>
  <c r="H59"/>
  <c r="F59"/>
  <c r="J53"/>
  <c r="G42"/>
  <c r="H42"/>
  <c r="F42"/>
  <c r="J47"/>
  <c r="J48"/>
  <c r="J49"/>
  <c r="J46"/>
  <c r="J45"/>
  <c r="G27"/>
  <c r="H27"/>
  <c r="F27"/>
  <c r="J36"/>
  <c r="J35"/>
  <c r="J34"/>
  <c r="J33"/>
  <c r="J31"/>
  <c r="J30"/>
  <c r="J29"/>
  <c r="J28"/>
  <c r="J20"/>
  <c r="J19"/>
  <c r="J18"/>
  <c r="J17"/>
  <c r="J16"/>
  <c r="J26" i="6"/>
  <c r="J42" i="7" l="1"/>
  <c r="J27"/>
  <c r="J8"/>
  <c r="J74" i="6"/>
  <c r="J73" s="1"/>
  <c r="J60" i="7"/>
  <c r="J61"/>
  <c r="J62"/>
  <c r="J10"/>
  <c r="J51"/>
  <c r="J39"/>
  <c r="J37" s="1"/>
  <c r="J26"/>
  <c r="J25"/>
  <c r="J62" i="6"/>
  <c r="J63"/>
  <c r="J65"/>
  <c r="J67"/>
  <c r="J68"/>
  <c r="J69"/>
  <c r="J70"/>
  <c r="J61"/>
  <c r="J55"/>
  <c r="J56"/>
  <c r="J57"/>
  <c r="J58"/>
  <c r="J59"/>
  <c r="J52"/>
  <c r="J53"/>
  <c r="J54"/>
  <c r="J51"/>
  <c r="J50"/>
  <c r="J47"/>
  <c r="J45"/>
  <c r="J23"/>
  <c r="J24"/>
  <c r="J25"/>
  <c r="J27"/>
  <c r="J28"/>
  <c r="J29"/>
  <c r="J44" l="1"/>
  <c r="J60"/>
  <c r="J14" i="7"/>
  <c r="J9" i="6"/>
  <c r="J7" i="7"/>
  <c r="J6" s="1"/>
  <c r="J59"/>
  <c r="G13"/>
  <c r="J34" i="6"/>
  <c r="J35"/>
  <c r="J36"/>
  <c r="J33"/>
  <c r="J37"/>
  <c r="J38"/>
  <c r="J39"/>
  <c r="J40"/>
  <c r="J41"/>
  <c r="J32"/>
  <c r="G30"/>
  <c r="H30"/>
  <c r="F30"/>
  <c r="J80"/>
  <c r="H80"/>
  <c r="F80"/>
  <c r="J42"/>
  <c r="F42"/>
  <c r="J30" l="1"/>
  <c r="J8" s="1"/>
  <c r="H54" i="7" l="1"/>
  <c r="F54"/>
  <c r="G50"/>
  <c r="F50"/>
  <c r="H41"/>
  <c r="H13"/>
  <c r="F13"/>
  <c r="H71" i="6"/>
  <c r="F71"/>
  <c r="F60"/>
  <c r="F49"/>
  <c r="G8"/>
  <c r="G7" l="1"/>
  <c r="G82"/>
  <c r="H8"/>
  <c r="H82" s="1"/>
  <c r="H12" i="7"/>
  <c r="F8" i="6"/>
  <c r="F48"/>
  <c r="J49"/>
  <c r="J48" s="1"/>
  <c r="F41" i="7"/>
  <c r="F12" s="1"/>
  <c r="F66" s="1"/>
  <c r="J13"/>
  <c r="G41"/>
  <c r="G12" s="1"/>
  <c r="J50"/>
  <c r="J7" i="6" l="1"/>
  <c r="J82"/>
  <c r="H7"/>
  <c r="F7"/>
  <c r="F82"/>
  <c r="J41" i="7"/>
  <c r="J12" s="1"/>
</calcChain>
</file>

<file path=xl/sharedStrings.xml><?xml version="1.0" encoding="utf-8"?>
<sst xmlns="http://schemas.openxmlformats.org/spreadsheetml/2006/main" count="633" uniqueCount="284">
  <si>
    <t>STT</t>
  </si>
  <si>
    <t>Diện tích (ha)</t>
  </si>
  <si>
    <t>Khu đô thị mới Nhơn Bình</t>
  </si>
  <si>
    <t>Dự án gia cố các hầm yếu kết hợp mở mới các ga và cải tạo kiến trúc tầng trên đoạn Vinh - Nha Trang, tuyến đường sắt Hà Nội - TP. Hồ Chí Minh</t>
  </si>
  <si>
    <t>Cụm công nghiệp Nhơn Tân 1 - phần mở rộng</t>
  </si>
  <si>
    <t>Nhà máy điện mặt trời (Công ty CP Tập đoàn Trường Thành Việt Nam)</t>
  </si>
  <si>
    <t>Khu đô thị Đông Bắc Diêu Trì tại TT Diêu Trì, huyện Tuy Phước</t>
  </si>
  <si>
    <t>Khu đô thị mới VN Land Bình Định tại xã Phước Thuận, huyện Tuy Phước</t>
  </si>
  <si>
    <t>Khu đô thị Long Vân 2</t>
  </si>
  <si>
    <t>Khu đô thị Long Vân 3</t>
  </si>
  <si>
    <t>Khu đô thị Long Vân 4</t>
  </si>
  <si>
    <t>Địa điểm</t>
  </si>
  <si>
    <t>Khu du lịch nghỉ dưỡng, chăm sóc sức khỏe và dân cư khu vực suối nước nóng Hội Vân (TK 1 và 2)</t>
  </si>
  <si>
    <t>Dự án Thủy điện Hồ Núi Một tại xã Nhơn Tân</t>
  </si>
  <si>
    <t>Khu dân cư An Quang Tây, xã Cát Khánh</t>
  </si>
  <si>
    <t>Phường Nhơn Bình, thành phố Quy Nhơn</t>
  </si>
  <si>
    <t>Phường Trần Quang Diệu, thành phố Quy Nhơn</t>
  </si>
  <si>
    <t>Phường Bùi Thị Xuân, thành phố Quy Nhơn</t>
  </si>
  <si>
    <t>Xã Phước Thuận, huyện Tuy Phước</t>
  </si>
  <si>
    <t>Thị trấn Diêu Trì, huyện Tuy Phước</t>
  </si>
  <si>
    <t>Đất khác (ha)</t>
  </si>
  <si>
    <t>Quy hoạch tuyến đường từ Quốc lộ 19C kết nối cảng Quy Nhơn (QL 19 mới)</t>
  </si>
  <si>
    <t>- UBND tỉnh cho chủ trương tại Công văn 2031/UBND-TH ngày 31/03/2020 (đấu thầu). 
- Đã có trong KHSDĐ 2020.</t>
  </si>
  <si>
    <t>- Danh mục Đấu thầu dự án;
- Chưa có trong KHSDĐ 2020.</t>
  </si>
  <si>
    <t>- Danh mục Đấu thầu dự án;
- Không có trong KHSDĐ 2020.</t>
  </si>
  <si>
    <t>- UBND tỉnh phê duyệt điều chỉnh quy hoạch tại Quyết định số 3873/QĐ-UBND ngày 25/10/2019; 
- Dự án đấu thầu.</t>
  </si>
  <si>
    <t>Sửa chữa, nâng cấp đê sông Kôn (đoạn bổ sung)</t>
  </si>
  <si>
    <t>Dự án chăn nuôi, sản xuất và xuất khẩu thịt, giống gia cầm công nghệ cao 4.0 Minh Dư Bình Định</t>
  </si>
  <si>
    <t>Ban GPMB tỉnh đăng ký</t>
  </si>
  <si>
    <t>Sở Xây dựng</t>
  </si>
  <si>
    <t>Khu dân cư xã Nhơn Thọ</t>
  </si>
  <si>
    <t>Khu dân cư dọc 2 bên đường từ cầu Trường Thi đi QL 19 - giai đoạn 2 (KDC An Lộc 2 phường Nhơn Hòa)</t>
  </si>
  <si>
    <t>DNTN Ngọc Anh</t>
  </si>
  <si>
    <t>Công ty TNHH Giống gia cầm Minh Dư</t>
  </si>
  <si>
    <t>- UBND tỉnh cho chủ trương tại Văn bản số 1962/QĐ-UBND ngày 30/3/2020;
- Đã có trong KHSDĐ 2020.</t>
  </si>
  <si>
    <t xml:space="preserve">Khu TĐC phục vụ dự án đường phía Tây tỉnh (ĐT.638) </t>
  </si>
  <si>
    <t>UBND 
thị xã An Nhơn</t>
  </si>
  <si>
    <t>Loại đất</t>
  </si>
  <si>
    <t>ODT</t>
  </si>
  <si>
    <t>DGT</t>
  </si>
  <si>
    <t>SKC</t>
  </si>
  <si>
    <t>SKN</t>
  </si>
  <si>
    <t>DNL</t>
  </si>
  <si>
    <t>ONT</t>
  </si>
  <si>
    <t>TMD</t>
  </si>
  <si>
    <t>DTL</t>
  </si>
  <si>
    <t>UBND huyện Vĩnh Thạnh</t>
  </si>
  <si>
    <t>2.1</t>
  </si>
  <si>
    <t>Đất phát triển hạ tầng</t>
  </si>
  <si>
    <t>Đất giao thông</t>
  </si>
  <si>
    <t>Đất thủy lợi</t>
  </si>
  <si>
    <t>Đất công trình năng lượng</t>
  </si>
  <si>
    <t>Đất ở</t>
  </si>
  <si>
    <t>Đất ở tại nông thôn</t>
  </si>
  <si>
    <t>1.3</t>
  </si>
  <si>
    <t>1.2</t>
  </si>
  <si>
    <t>1.1</t>
  </si>
  <si>
    <t>2.2</t>
  </si>
  <si>
    <t xml:space="preserve">Đất ở tại đô thị </t>
  </si>
  <si>
    <t>Đất cụm công nghiệp</t>
  </si>
  <si>
    <t>Đất cơ sở sản xuất kinh doanh phi nông nghiệp</t>
  </si>
  <si>
    <t>Đất thương mại - dịch vụ</t>
  </si>
  <si>
    <t xml:space="preserve">TỔNG </t>
  </si>
  <si>
    <t>Xã Nhơn Hậu, 
thị xã An Nhơn</t>
  </si>
  <si>
    <t>Xã Mỹ Phong,
 huyện Phù Mỹ</t>
  </si>
  <si>
    <t>Xã Nhơn Khánh, 
thị xã An Nhơn</t>
  </si>
  <si>
    <t>01 công trình</t>
  </si>
  <si>
    <t>02 công trình</t>
  </si>
  <si>
    <t>Công ty CP Tập đoàn Trường Thành Việt Nam</t>
  </si>
  <si>
    <t>Xã Nhơn Tân, 
thị xã An Nhơn</t>
  </si>
  <si>
    <t>Xã Mỹ Trinh, 
huyện Phù Mỹ</t>
  </si>
  <si>
    <t>Xã Cát Tiến, 
huyện Phù Cát</t>
  </si>
  <si>
    <t>Xã Cát Khánh, 
huyện Phù Cát</t>
  </si>
  <si>
    <t>Xã Cát Tường, 
huyện Phù Cát</t>
  </si>
  <si>
    <t>Xã Canh Vinh,
 huyện Vân Canh</t>
  </si>
  <si>
    <t>Xã Nhơn Thọ,
 thị xã An Nhơn</t>
  </si>
  <si>
    <t>Phường Nhơn Hòa, thị xã An Nhơn</t>
  </si>
  <si>
    <t>Xã Cát Hiệp,
 huyện Phù Cát</t>
  </si>
  <si>
    <t>03 công trình</t>
  </si>
  <si>
    <t>Xã Ân Thạnh,
 huyện Hoài Ân</t>
  </si>
  <si>
    <t>UBND  huyện Hoài Ân</t>
  </si>
  <si>
    <t>Đường nội bộ KDC Đồng Cỏ Hôi</t>
  </si>
  <si>
    <t>Thị trấn Tăng Bạt Hổ,
 huyện Hoài Ân</t>
  </si>
  <si>
    <t>Xã Ân Nghĩa,
 huyện Hoài Ân</t>
  </si>
  <si>
    <t>Đất cơ sở giáo dục - đào tạo</t>
  </si>
  <si>
    <t>DGD</t>
  </si>
  <si>
    <t>Trường mẫu giáo bán trú Cát Lâm</t>
  </si>
  <si>
    <t>Xã Cát Lâm, 
huyện  Phù Cát</t>
  </si>
  <si>
    <t>UBND huyện   Phù Cát</t>
  </si>
  <si>
    <t>Công trình thu và trạm bơm nước thô thuộc Hệ thống cấp nước sinh hoạt KKT Nhơn Hội</t>
  </si>
  <si>
    <t>Ban Quản lý KKT Nhơn Hội</t>
  </si>
  <si>
    <t>Xã Cát Chánh, 
huyện Phù Cát</t>
  </si>
  <si>
    <t>Sữa chữa và nâng cấp đập Lão Tâm</t>
  </si>
  <si>
    <t>Xã Cát Thắng, 
huyện Phù Cát</t>
  </si>
  <si>
    <t>Sữa chữa các trục tiêu dọc tuyến đê Đông</t>
  </si>
  <si>
    <t>Khắc phục và mở rộng hệ thống kênh Văn Phong - Thuận Ninh</t>
  </si>
  <si>
    <t>Xã Cát Hiệp, 
huyện Phù Cát</t>
  </si>
  <si>
    <t>Sửa chữa, nâng cấp đập dâng Đức Phổ</t>
  </si>
  <si>
    <t>Xã Cát Minh, 
huyện Phù Cát</t>
  </si>
  <si>
    <t>Khu TĐC di dời khẩn cấp 36 hộ dân sống trong vùng có nguy cơ sạt lở tại Núi Gành, Cát Minh</t>
  </si>
  <si>
    <t>UBND huyện Phù Cát</t>
  </si>
  <si>
    <t>Đất bãi thải xử lý chất thải</t>
  </si>
  <si>
    <t>DRA</t>
  </si>
  <si>
    <t>Ban QLDA NN&amp;PTNT</t>
  </si>
  <si>
    <t>Khu TĐC Quảng Vân</t>
  </si>
  <si>
    <t>Trạm bơm Chà Rang, xã Bình Thuận</t>
  </si>
  <si>
    <t>Xã Bình Thuận, huyện Tây Sơn</t>
  </si>
  <si>
    <t>Thị trấn Vĩnh Thạnh, huyện Vĩnh Thạnh</t>
  </si>
  <si>
    <t>Sữa chữa cấp bách Đê sông La Tinh đoạn thượng lưu đập Cây Ké, huyện Phù Mỹ</t>
  </si>
  <si>
    <t>Sữa chữa cấp bách sông Cạn huyện Phù Mỹ</t>
  </si>
  <si>
    <t>Sữa chữa cấp bách sông Kôn thị xã An Nhơn</t>
  </si>
  <si>
    <t>Sửa chữa, nâng cấp một số đường tỉnh bị hư hỏng nặng</t>
  </si>
  <si>
    <t>Hệ thống tưới tiêu Tà Loan</t>
  </si>
  <si>
    <t>Xã An Hưng, 
huyện An Lão</t>
  </si>
  <si>
    <t>Xã Mỹ Tài, 
huyện Phù Mỹ</t>
  </si>
  <si>
    <t>Xã Mỹ Chánh, 
huyện Phù Mỹ</t>
  </si>
  <si>
    <t>Đất vật liệu xây dựng</t>
  </si>
  <si>
    <t>Xã Mỹ Trinh, huyện Phù Mỹ</t>
  </si>
  <si>
    <t>Công ty TNHH TH HTC</t>
  </si>
  <si>
    <t>SKX</t>
  </si>
  <si>
    <t>Công trình, dự án</t>
  </si>
  <si>
    <t>Ban QLDA
giao thông</t>
  </si>
  <si>
    <t>- UBND thị xã An Nhơn đề nghị tại Văn bản số 165/Tr-UBND ngày 13/5/2020;
- Đã có trong KHSDĐ 2020.</t>
  </si>
  <si>
    <t>- UBND tỉnh cho chủ trương tại Văn bản số 3305/UBND-KT ngày 25/5/2020.</t>
  </si>
  <si>
    <t xml:space="preserve">Khu đất ở phía nam đường trục Khu Kinh tế nối dài - lý trình Km 0+280 </t>
  </si>
  <si>
    <t>Khu đất ở phía nam đường trục Khu Kinh tế nối dài - lý trình Km 2+400</t>
  </si>
  <si>
    <t xml:space="preserve">Ban GPMB tỉnh </t>
  </si>
  <si>
    <t>- Ban GPMB đề nghị tại Văn bản số 566/BGPMB-HT ngày 27/5/2020;
- Không có trong KHSDĐ 2020,</t>
  </si>
  <si>
    <t>TTPTQĐ tỉnh</t>
  </si>
  <si>
    <t>Công ty TNHH MTV ĐT&amp;PT Kho bãi Nhơn Tân</t>
  </si>
  <si>
    <t>Ghi chú</t>
  </si>
  <si>
    <t>11 công trình</t>
  </si>
  <si>
    <t>9 công trình</t>
  </si>
  <si>
    <t>1.4</t>
  </si>
  <si>
    <t>10 công trình</t>
  </si>
  <si>
    <t>Nhà máy may Hoài Sơn</t>
  </si>
  <si>
    <t>Xã Hoài Sơn, thị xã Hoài Nhơn</t>
  </si>
  <si>
    <t xml:space="preserve">Công ty TNHH May Hoài Sơn </t>
  </si>
  <si>
    <t>- UBND tỉnh cho chủ trương tại Quyết định số 3107/UBND-KT ngày 15/5/2020;
- Đã có trong KHSDĐ 2020.</t>
  </si>
  <si>
    <t>- UBND huyện Hoài Ân đề nghị tại Văn bản số 78/Tr-UBND ngày 05/6/2020;
- Đã có trong KHSDĐ 2020.</t>
  </si>
  <si>
    <t>Giấy phép số 33/GP-UBND ngày 26/5/2020 của UBND tỉnh về việc cho phép thăm dò khoáng sản tại Núi Nhông, xã Mỹ Trinh</t>
  </si>
  <si>
    <t>- UBND tỉnh cho chủ trương tại Quyết định số 348/QĐ-UBND ngày 30/01/2020;
- Đã có trong KHSDĐ 2020.</t>
  </si>
  <si>
    <t>Cơ sở chăn nuôi và sản xuất giống gia cầm công nghệ cao Minh Dư Bình Định</t>
  </si>
  <si>
    <t>ĐẤT PHI NÔNG NGHIỆP</t>
  </si>
  <si>
    <t>Đất rừng sản xuất 
(ha)</t>
  </si>
  <si>
    <t>Đất trồng lúa (ha)</t>
  </si>
  <si>
    <t>- UBND tỉnh cho chủ trương tại Văn bản sô 2334/UBND-KT ngày 13/4/2019;
- Sở Giao thông vận tải đề nghị tại Văn bản số 424/SGTVT-GT ngày 07/4/2020;
- Đã có trong KHSDĐ 2020.</t>
  </si>
  <si>
    <t>Tuyến đường Nhơn Khánh đi Nhơn Mỹ (đoạn từ đường ĐT 636 đến cầu Khánh Mỹ)</t>
  </si>
  <si>
    <t>Thị xã An Nhơn</t>
  </si>
  <si>
    <t>Huyện Tây Sơn</t>
  </si>
  <si>
    <t>- Ban QLDA NN&amp;PTNT đề nghị tại Văn bản số 399/BQL-KTTĐ ngày 05/6/2020;
- Nguồn vốn đầu tư ODA.</t>
  </si>
  <si>
    <t>- UBND tỉnh cho chủ trương tại Văn bản số 777/UBND-KT ngày 14/02/2020;
- UBND  huyện Hoài Ân đề nghị tại Văn bản số 78/Tr-UBND ngày 05/6/2020;
- Đã có trong KHSDĐ 2020.</t>
  </si>
  <si>
    <t>Dự án xây dựng Cầu Phú Văn, xã Ân Thạnh</t>
  </si>
  <si>
    <t>- Ban QLDA NN&amp;PTNT đề nghị tại Văn bản số 397/BQL-KTTĐ ngày 04/6/2020;
- Nguồn vốn đầu tư ODA.</t>
  </si>
  <si>
    <t>- UBND tỉnh cho chủ trương tại Văn bản số 3304/UBND-KT ngày 25/5/2020;
- Ban QL Khu kinh tế đề nghị tại Văn bản số 628/BQL-QLTNMT ngày 18/5/2020; 
- Không có trong KHSDĐ 2020.</t>
  </si>
  <si>
    <t>- UBND tỉnh cho chủ trương tại Văn bản số 3285/QĐ-UBND ngày 13/9/2019; 
- UBND huyện Phù Cát đề nghị tại Văn bản số 156/Tr-UBND ngày 29/5/2020;
- Có trong KHSDĐ năm 2020.</t>
  </si>
  <si>
    <t>- UBND tỉnh cho chủ trương tại Văn bản số 3670/QĐ-UBND ngày 10/10/2019; 
- UBND huyện Phù Cát đề nghị tại Văn bản số 156/Tr-UBND ngày 29/5/2020;
- Có trong KHSDĐ năm 2020.</t>
  </si>
  <si>
    <t>- UBND tỉnh cho chủ trương tại Văn bản số 1419/UBND-KT ngày 25/3/2019; 
- UBND huyện Phù Cát đề nghị tại Văn bản số 156/Tr-UBND ngày 29/5/2020;
- Đã có trong KHSDĐ 2020.</t>
  </si>
  <si>
    <t>- UBND tỉnh cho chủ trương tại Văn bản số 2018/UBND-VX ngày 31/3/2020; 
- UBND huyện Phù Cát đề nghị tại Văn bản số 156/Tr-UBND ngày 29/5/2020;
- Không có trong KHSDĐ năm 2020.</t>
  </si>
  <si>
    <t>- UBND tỉnh cho chủ trương điều chỉnh tại Văn bản số 2618/UBND-KT ngày 24/4/2020.
- Đã có trong KHSDĐ 2020,</t>
  </si>
  <si>
    <t>- UBND tỉnh cho chủ trương tại Văn bản số 2544/UBND-KT ngày 21/4/2020; 
- Ban GPMB tỉnh đề nghị tại Văn bản số 380/BGPMB-BT ngày 20/4/2020;
- Có trong KHSDĐ năm 2020.</t>
  </si>
  <si>
    <t>- UBND tỉnh cho chủ trương tại Văn bản số 1268/UBND-KT ngày 04/3/2020; 
- UBND huyện Phù Cát đề nghị tại Văn bản số 156/Tr-UBND ngày 29/5/2020;
- Có trong KHSDĐ năm 2020.</t>
  </si>
  <si>
    <t>- UBND tỉnh cho chủ trương tại Văn bản số 2915/UBND-KT ngày 08/5/2020; 
- UBND huyện Phù Cát đề nghị tại Văn bản số 156/Tr-UBND ngày 29/5/2020;
- Không có trong KHSDĐ năm 2020.</t>
  </si>
  <si>
    <t>- UBND tỉnh cho chủ trương tại Văn bản số 5507/UBND-KT ngày 16/9/2019; 
- Ban GPMB tỉnh đề nghị tại Văn bản số 567/BGPMB-HT ngày 27/5/2020;
- Không có trong KHSDĐ năm 2020.</t>
  </si>
  <si>
    <t>- Đã có trong Nghị quyết số 46/NQ-HĐND ngày 13/12/2019 của HĐND tỉnh; tuy nhiên, công trình thiếu 2,69 ha đất trồng lúa;
- UBND thị xã An Nhơn đề nghị tại Văn bản số 165/Tr-UBND ngày 13/5/2020;
- Đã có trong KHSDĐ 2020.</t>
  </si>
  <si>
    <t>Khu đô thị và du lịch sinh thái Diêm Vân, huyện Tuy Phước</t>
  </si>
  <si>
    <t>- UBND tỉnh có Quyết định số 1138/QĐ-UBND ngày 31/3/2020 về việc phê duyệt quy hoạch chi tiết 1/500;
- Ban QLDA NN&amp;PTNT đề nghị tại Văn bản số 397/BQL-KTTĐ ngày 04/6/2020;
- Đã có trong KHSDĐ 2020.</t>
  </si>
  <si>
    <t>- UBND tỉnh cho chủ trương tại Văn bản số 3052/UBND-TH ngày 14/5/2020;
- Ban QLDA NN&amp;PTNT đề nghị tại Văn bản số 397/BQL-KTTĐ ngày 04/6/2020;
- Không có trong KHSDĐ 2020.</t>
  </si>
  <si>
    <t>Khu dân cư Tổ 5, Kim Châu (chuyển từ đất Trại thực nghiệm của TT nghiên cứu miền Trung)</t>
  </si>
  <si>
    <t>Phường Bình Định,
 thị xã An Nhơn</t>
  </si>
  <si>
    <t>Khu Dân cư phía Bắc khu Nhà ở xã hội phường Nhơn Bình</t>
  </si>
  <si>
    <t>- UBND tỉnh cho chủ trương tại Thông báo 16/TB-UBND ngày 12/02/2020;
- Trung tâm PTQĐ tỉnh đề nghị tại Văn bản số 203/TTPTQĐ-GPMB ngày 23/4/2020;
- Đã có trong KHSDĐ 2020.</t>
  </si>
  <si>
    <t>- Dự án đấu thầu;
- UBND tỉnh phê duyệt điều chỉnh quy hoạch tại Quyết định số 3873/QĐ-UBND ngày 25/10/2019.</t>
  </si>
  <si>
    <t>- Quyết định số 773/QĐ-UBND ngày 22/4/2020 của UBND huyện Phù Cát về việc phê duyệt QH chi tiết 1:500;
- Đã có trong KHSDĐ 2020.</t>
  </si>
  <si>
    <t>Bãi rác Cát Hanh</t>
  </si>
  <si>
    <t>Xã Cát Hanh, 
huyện Phù Cát</t>
  </si>
  <si>
    <t>- Quyết định số 8312/QĐ-BCA-HO2 ngày 30/10/2019 của Bộ Công An về việc phê duyệt dự án thành phần đầu tư xây dựng công trình: đường và cầu vào Phân trại số 3 thuộc trại giam Kim Sơn;
- UBND  huyện Hoài Ân đề nghị tại Văn bản số 78/Tr-UBND ngày 05/6/2020;
- Đã có trong KHSDĐ 2020.</t>
  </si>
  <si>
    <t>Dự án xây dựng đường và cầu vào Phân trại số 3 thuộc trại giam Kim Sơn</t>
  </si>
  <si>
    <t>Khu dân cư dọc Quốc lộ 19 (mới)</t>
  </si>
  <si>
    <t>Xã Phước Lộc, huyện Tuy Phước</t>
  </si>
  <si>
    <t>- UBND tỉnh cho chủ trương tại Văn bản số 2526/UBND-KT ngày 21/4/2020;
- Đã có trong Nghị quyết số 46/NQ-HĐND ngày 13/12/2019 của HĐND tỉnh (Biểu 10a);
- Ban GPMB tỉnh đề nghị tại Văn bản số 594/BGPMB-HT ngày 03/6/2020;
- Đã có trong KHSDĐ 2020.</t>
  </si>
  <si>
    <t>Khu vực khai thác đất làm vật liệu san lấp tại Núi Nhông, xã Mỹ Trinh</t>
  </si>
  <si>
    <t>I</t>
  </si>
  <si>
    <t>ĐẤT NÔNG NGHIỆP</t>
  </si>
  <si>
    <t>Đất nông nghiệp khác</t>
  </si>
  <si>
    <t>NKH</t>
  </si>
  <si>
    <t>II</t>
  </si>
  <si>
    <t>a</t>
  </si>
  <si>
    <t>b</t>
  </si>
  <si>
    <t>c</t>
  </si>
  <si>
    <t>2.3</t>
  </si>
  <si>
    <t>2.4</t>
  </si>
  <si>
    <t>2.5</t>
  </si>
  <si>
    <t>2.6</t>
  </si>
  <si>
    <t>- Bổ sung theo Quyết định phê duyệt QHCT số 606/QĐ-UBND ngày 27/02/2020 của UBND tỉnh phê duyệt QHCT 1/500;
- Công ty TNHH MTV ĐT&amp;PT Kho bãi Nhơn Tân đề nghị tại Văn bản số 09/CV-Cty ngày 22/4/2020;
- Đã có trong KHSDĐ 2020.</t>
  </si>
  <si>
    <t>Khu thương mại dịch vụ 05 thuộc điểm số 3 quỹ đất dọc đường trục Khu kinh tế nối dài</t>
  </si>
  <si>
    <t>Xã Cát Tiến,
 huyện Phù Cát</t>
  </si>
  <si>
    <t>07 công trình</t>
  </si>
  <si>
    <t>- UBND tỉnh có Quyết định số 1569/QĐ-UBND ngày 27/4/2020 về việc phê duyệt Thiết kế bản vẽ thi công, dự toán và giá gói thầu xây dựng;
- Ban QLDA NN&amp;PTNT đề nghị tại Văn bản số 397/BQL-KTTĐ ngày 04/6/2020;
- Nguồn vốn đầu tư ODA.</t>
  </si>
  <si>
    <t>- UBND tỉnh cho chủ trương tại Văn bản số 3304/UBND-KT ngày 25/5/2020;
- Ban QL Khu Kinh tế đề nghị tại Văn bản số 628/BQL-QLTNMT ngày 18/5/2020; 
- Không có trong KHSDĐ 2020.</t>
  </si>
  <si>
    <t>- UBND tỉnh cho chủ trương tại Văn bản số 5362/UBND-TH ngày 09/9/2019.
- Đã có trong KHSDĐ 2020.</t>
  </si>
  <si>
    <t>Khu dân cư (nằm giữa Khu tái định cư thôn Chánh Lý, xã Cát Tường và Đường trục Khu kinh tế nối dài)</t>
  </si>
  <si>
    <t>- UBND tỉnh cho chủ trương tại Quyết định số 1137/QĐ-UBND ngày 31/3/2020;
- Đất rừng sản xuất được HĐND tỉnh thông qua tại Nghị quyết số 48/NQ-HĐND ngày 13/12/2019;
- Đã có trong KHSDĐ 2020.</t>
  </si>
  <si>
    <t>Khu du lịch nghỉ dưỡng Bãi Bàng Bé</t>
  </si>
  <si>
    <t>Phường Ghềnh Ráng, thành phố Quy Nhơn</t>
  </si>
  <si>
    <t>Điểm du lịch số 2a tuyến Quy Nhơn - song Cầu</t>
  </si>
  <si>
    <t>- Danh mục Đấu thầu dự án;
- Có trong KHSDĐ 2020.</t>
  </si>
  <si>
    <t>- Có trong Nghị quyết số 43/NQ-HĐND ngày 13/12/2019 của HĐND tỉnh;
- Ban QLDA giao thông đề nghị tại Văn bản số 959/BQLGT-KHTĐ ngày 08/6/2020;
- Đã có trong KHSDĐ 2020.</t>
  </si>
  <si>
    <t>Thị trấn Tăng Bạt Hổ, huyện Hoài Ân</t>
  </si>
  <si>
    <t>Phường Quang Trung, thành phố Quy Nhơn</t>
  </si>
  <si>
    <t>- UBND tỉnh cho chủ trương tại Văn bản số 3795/UBND-KT ngày 11/6/2020;
- Sở Xây dựng đề nghị tại Văn bản số 1173/SXD-QLN&amp;PTĐT ngày 29/5/2020;
- Có trong KHSDĐ 2020.</t>
  </si>
  <si>
    <t>Huyện Tuy Phước</t>
  </si>
  <si>
    <t>Thành phố Quy Nhơn</t>
  </si>
  <si>
    <t>- Có trong Nghị quyết số 43/NQ-HĐND ngày 13/12/2019 của HĐND tỉnh;
- Ban QLDA giao thông đề nghị tại Văn bản số 959/BQLGT-KHTĐ ngày 08/6/2020;
- Không có trong KHSDĐ 2020.</t>
  </si>
  <si>
    <t>Khu phức hợp đô thị - thương mại - dịch vụ (khu đất của Công ty TNHH TM Ánh Việt)</t>
  </si>
  <si>
    <t>Cơ sở chăn nuôi và sản xuất giống gia cầm Minh Dư tại thôn Bình An 2, xã Phước Thành</t>
  </si>
  <si>
    <t>- UBND tỉnh cho chủ trương tại Văn bản số 1011/UBND-KT ngày 13/3/2017 và Văn bản số 3008/UBND-KT ngày 29/5/2018;
- Đã có trong KHSDĐ 2019.</t>
  </si>
  <si>
    <t>Khu vực khai thác đất làm vật liệu san lấp tại xã Ân Phong</t>
  </si>
  <si>
    <t>Xã Ân Phong, huyện Hoài Ân</t>
  </si>
  <si>
    <t>Công ty TNHH ĐT&amp;XD Tường Duy</t>
  </si>
  <si>
    <t>Sở NN&amp;PTNT đề nghị tại Văn bản số 1364/SNN-KL ngày 16/6/2020</t>
  </si>
  <si>
    <t>Xây dựng các tuyến đường kết nối vào Nhà ở xã hội, phường Nhơn Bình</t>
  </si>
  <si>
    <t>Phường Nhơn Bình, Thành phố Quy Nhơn</t>
  </si>
  <si>
    <t>- TTPTQĐ tỉnh đề nghị tại Văn bản số 203/TTPTQĐ-GPMB ngày 23/4/2020.</t>
  </si>
  <si>
    <t>Khu du lịch biển tại đảo Hòn Đất</t>
  </si>
  <si>
    <t>- UBND tỉnh cho chủ trương tại Văn bản số 3441/UBND-TH ngày 29/5/2020; 
 - TTPTQĐ tỉnh đề nghị tại Văn bản số 203/TTPTQĐ-GPMB ngày 23/4/2020;
- Có trong KHSDĐ năm 2020.</t>
  </si>
  <si>
    <t>- UBND tỉnh cho chủ trương tại Văn bản sô 6178/UBND-KT ngày 14/10/2019;
- TTPTQĐ tỉnh đề nghị tại Văn bản số 203/TTPTQĐ-GPMB ngày 23/4/2020.</t>
  </si>
  <si>
    <t>Khu du lịch núi Xuân Vân</t>
  </si>
  <si>
    <t>- UBND tỉnh cho chủ trương tại Văn bản số 7766/UBND-KT ngày 20/12/2019; 
 - TTPTQĐ tỉnh đề nghị tại Văn bản số 203/TTPTQĐ-GPMB ngày 23/4/2020;
- Có trong KHSDĐ năm 2020.</t>
  </si>
  <si>
    <t>Xây dựng HTKT khu đất của Công ty CP giống Lâm Nghiệp Nam Trung Bộ, khu đất Công ty  Công viên cây xanh và chiếu sáng đô thị và khu đất trống liền kề Quốc lộ 1D để bố trí cho Đại Đội Trinh Sát - Bộ Chỉ huy quân sự tỉnh</t>
  </si>
  <si>
    <t>Phường Quang Trung, Thành phố Quy Nhơn</t>
  </si>
  <si>
    <t>Bổ sung Khu Dân cư chợ Dinh mới</t>
  </si>
  <si>
    <t>- UBND tỉnh cho chủ trương tại Văn bản số 5771/UBND-KT ngày 26/9/2019;
- Trung tâm PTQĐ tỉnh đề nghị tại Văn bản số 203/TTPTQĐ-GPMB ngày 23/4/2020;
- Không có trong KHSDĐ 2020.</t>
  </si>
  <si>
    <t>Mở rộng cảng Quy Nhơn</t>
  </si>
  <si>
    <t>Phường Hải Cảng, Thành phố Quy Nhơn</t>
  </si>
  <si>
    <t>- UBND tỉnh cho chủ trương tại Văn bản số 3172/UBND-KT ngày 19/5/2020;</t>
  </si>
  <si>
    <t>Đường ven biển (ĐT.639) - đoạn từ Cát Tiến đên Gò Bồi</t>
  </si>
  <si>
    <t>Huyện Phù Cát</t>
  </si>
  <si>
    <t>Đường ven biển (ĐT.639) - đoạn từ Gò Bồi đến Diêm Vân</t>
  </si>
  <si>
    <t>Đất rừng phòng hộ
(ha)</t>
  </si>
  <si>
    <t>Trạm biến áp nâng áp 22/220kV ĐMT Phù Mỹ</t>
  </si>
  <si>
    <t>Huyện Phù Mỹ</t>
  </si>
  <si>
    <t>Công ty CP PT Tàm nhìn năng lượng sạch</t>
  </si>
  <si>
    <t>- UBND huyện Phù Mỹ đề nghị tại Văn bản số 715/UBND-VP ngày 17/6/2020;</t>
  </si>
  <si>
    <t>- UBND tỉnh cho chủ trương tại Văn bản sô 6261/UBND-KT ngày 16/11/2017;
- TTPTQĐ tỉnh đề nghị tại Văn bản số 203/TTPTQĐ-GPMB ngày 23/4/2020.</t>
  </si>
  <si>
    <t>Đường ven biển (ĐT.639) - đoạn từ Đề Gi dến Mỹ Thành</t>
  </si>
  <si>
    <t>- Có trong Nghị quyết số 11/NQ-HĐND ngày 11/7/2019 của HĐND tỉnh.
- Ban QLDA giao thông đề nghị tại Văn bản số 1636/BQLGT-KHTĐ ngày 10/10/2019;
- Đã có trong KHSDĐ 2020.</t>
  </si>
  <si>
    <t>Đường ven biển (ĐT.639) - đoạn từ Mỹ Thành đến Lại Giang</t>
  </si>
  <si>
    <t>Thị xã Hoài Nhơn</t>
  </si>
  <si>
    <t>- Có trong Nghị quyết số 32/NQ-HĐND ngày 02/10/2019 của HĐND tỉnh;
- Ban QLDA giao thông đề nghị tại Văn bản số 1022/BQLGT-KHTĐ ngày 17/6/2020;
- Không có trong KHSDĐ 2020.</t>
  </si>
  <si>
    <t>20 công trình</t>
  </si>
  <si>
    <t>Xã Bình Tân, 
huyện Tây Sơn</t>
  </si>
  <si>
    <t>Sở NN&amp;PTNT</t>
  </si>
  <si>
    <t>- Đã có trong KHSDĐ 2020.</t>
  </si>
  <si>
    <t>Khu trang trại chăn nuôi gà thịt Hà My</t>
  </si>
  <si>
    <t>04 công trình</t>
  </si>
  <si>
    <t>- UBND tỉnh cho chủ trương tại Văn bản số 3172/UBND-KT ngày 19/5/2020;
- Ban QLDA giao thông đề nghị tại Văn bản số 1022/BQLGT-KHTĐ ngày 17/6/2020.</t>
  </si>
  <si>
    <t>63 công trình</t>
  </si>
  <si>
    <t>12 công trình</t>
  </si>
  <si>
    <t>06 công trình</t>
  </si>
  <si>
    <t>35 công trình</t>
  </si>
  <si>
    <t>Biểu 01</t>
  </si>
  <si>
    <t>Biểu 02</t>
  </si>
  <si>
    <t>Đường ven biển (ĐT.639) - đoạn từ đường Điện Biên Phủ nối dài đến Khu đô thị Diêm Vân và đoạn từ Quốc lộ 19 mới đến Quốc lộ 1D</t>
  </si>
  <si>
    <t>Huyện Tuy Phước, thành phố Quy Nhơn</t>
  </si>
  <si>
    <t>Huyện Phù Cát, Tuy Phước</t>
  </si>
  <si>
    <t>Đường ven biển (ĐT.639) - đoạn từ Đề Gi đến Mỹ Thành</t>
  </si>
  <si>
    <t>Cơ quan
 thực hiện</t>
  </si>
  <si>
    <t xml:space="preserve">  CÔNG TRÌNH, DỰ ÁN SỬ DỤNG DƯỚI 10 HA ĐẤT TRỒNG LÚA, DƯỚI 20 HA ĐẤT RỪNG PHÒNG HỘ, 
DƯỚI 50 HA ĐẤT RỪNG SẢN XUẤT PHÁT SINH TRONG NĂM 2020</t>
  </si>
  <si>
    <t xml:space="preserve"> CÔNG TRÌNH, DỰ ÁN NHÀ NƯỚC THU HỒI ĐẤT ĐỂ PHÁT TRIỂN KINH TẾ - XÃ HỘI VÌ LỢI ÍCH QUỐC GIA, CÔNG CỘNG 
PHÁT SINH TRONG NĂM 2020</t>
  </si>
  <si>
    <t>Nhà xưởng sản xuất bao bì, thùng bằng giấy carton của Công ty TNHH Vĩnh Xuân Bình Định</t>
  </si>
  <si>
    <t>Công ty TNHH Vĩnh Xuân Bình Định</t>
  </si>
  <si>
    <t>- UBND tỉnh cho chủ trương tại Quyết định số 1978/QĐ-UBND ngày 22/5/2020;
- Không có trong KHSDĐ 2020.</t>
  </si>
  <si>
    <t>Nhà máy điện mặt trời Phù Mỹ 3 - giai đoạn 2</t>
  </si>
  <si>
    <t>Xã Mỹ Thắng, 
huyện Phù Mỹ</t>
  </si>
  <si>
    <t>42 công trình</t>
  </si>
  <si>
    <t>46 công trình</t>
  </si>
  <si>
    <t>Xã Phước Thành, 
huyện Tuy Phước</t>
  </si>
  <si>
    <t>(Kèm theo Nghị quyết số 13/2020/NQ-HĐND ngày 17/7/2020 của hội đồng nhân dân tỉnh)</t>
  </si>
  <si>
    <t>Sửa chữa cấp bách Đê sông La Tinh đoạn thượng lưu đập Cây Ké, huyện Phù Mỹ</t>
  </si>
  <si>
    <t>Sửa chữa cấp bách sông Kôn thị xã An Nhơn</t>
  </si>
  <si>
    <t>Sửa chữa các trục tiêu dọc tuyến đê Đông</t>
  </si>
  <si>
    <t>Sửa chữa và nâng cấp đập Lão Tâm</t>
  </si>
  <si>
    <t>Đường ven biển (ĐT.639) - đoạn từ Cát Tiến đến Gò Bồi</t>
  </si>
</sst>
</file>

<file path=xl/styles.xml><?xml version="1.0" encoding="utf-8"?>
<styleSheet xmlns="http://schemas.openxmlformats.org/spreadsheetml/2006/main">
  <fonts count="8">
    <font>
      <sz val="11"/>
      <color theme="1"/>
      <name val="Calibri"/>
      <family val="2"/>
      <scheme val="minor"/>
    </font>
    <font>
      <sz val="12"/>
      <name val="Times New Roman"/>
      <family val="1"/>
    </font>
    <font>
      <sz val="10"/>
      <name val="Arial"/>
      <family val="2"/>
    </font>
    <font>
      <b/>
      <sz val="12"/>
      <name val="Times New Roman"/>
      <family val="1"/>
    </font>
    <font>
      <sz val="11"/>
      <color theme="1"/>
      <name val="Times New Roman"/>
      <family val="2"/>
      <charset val="163"/>
    </font>
    <font>
      <i/>
      <sz val="12"/>
      <name val="Times New Roman"/>
      <family val="1"/>
    </font>
    <font>
      <i/>
      <sz val="14"/>
      <name val="Times New Roman"/>
      <family val="1"/>
    </font>
    <font>
      <b/>
      <sz val="14"/>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2" fillId="0" borderId="0"/>
    <xf numFmtId="0" fontId="2" fillId="0" borderId="0"/>
    <xf numFmtId="0" fontId="4" fillId="0" borderId="0"/>
  </cellStyleXfs>
  <cellXfs count="136">
    <xf numFmtId="0" fontId="0" fillId="0" borderId="0" xfId="0"/>
    <xf numFmtId="0" fontId="1" fillId="0" borderId="0" xfId="0" applyFont="1" applyFill="1" applyAlignment="1">
      <alignment horizontal="center" vertical="center"/>
    </xf>
    <xf numFmtId="0" fontId="1" fillId="0" borderId="0" xfId="0" applyFont="1" applyFill="1" applyAlignment="1">
      <alignment horizontal="right" vertical="center"/>
    </xf>
    <xf numFmtId="49" fontId="1" fillId="0" borderId="0" xfId="0" applyNumberFormat="1" applyFont="1" applyFill="1" applyAlignment="1">
      <alignment vertical="center"/>
    </xf>
    <xf numFmtId="0" fontId="1" fillId="0" borderId="0" xfId="0" applyFont="1" applyFill="1" applyAlignment="1">
      <alignment vertical="center"/>
    </xf>
    <xf numFmtId="0" fontId="3" fillId="0" borderId="3" xfId="0" applyFont="1" applyFill="1" applyBorder="1" applyAlignment="1">
      <alignment horizontal="center" vertical="center"/>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4" fontId="3" fillId="0" borderId="3" xfId="0" applyNumberFormat="1" applyFont="1" applyFill="1" applyBorder="1" applyAlignment="1">
      <alignment horizontal="center" vertical="center"/>
    </xf>
    <xf numFmtId="49" fontId="3" fillId="0" borderId="3" xfId="0" applyNumberFormat="1" applyFont="1" applyFill="1" applyBorder="1" applyAlignment="1">
      <alignment horizontal="center" vertical="center" wrapText="1"/>
    </xf>
    <xf numFmtId="0" fontId="3" fillId="0" borderId="2" xfId="0" applyFont="1" applyFill="1" applyBorder="1" applyAlignment="1">
      <alignment horizontal="left" vertical="center" wrapText="1"/>
    </xf>
    <xf numFmtId="0" fontId="1" fillId="0" borderId="2" xfId="0" applyFont="1" applyFill="1" applyBorder="1" applyAlignment="1">
      <alignment horizontal="center" vertical="center"/>
    </xf>
    <xf numFmtId="0" fontId="1" fillId="0" borderId="2" xfId="0" applyFont="1" applyFill="1" applyBorder="1" applyAlignment="1">
      <alignment vertical="center" wrapText="1"/>
    </xf>
    <xf numFmtId="0" fontId="1" fillId="0" borderId="2" xfId="0" applyFont="1" applyFill="1" applyBorder="1" applyAlignment="1">
      <alignment horizontal="center" vertical="center" wrapText="1"/>
    </xf>
    <xf numFmtId="4" fontId="1" fillId="0" borderId="2" xfId="0" applyNumberFormat="1" applyFont="1" applyFill="1" applyBorder="1" applyAlignment="1">
      <alignment horizontal="right" vertical="center"/>
    </xf>
    <xf numFmtId="49" fontId="1" fillId="0" borderId="2" xfId="0" applyNumberFormat="1" applyFont="1" applyFill="1" applyBorder="1" applyAlignment="1">
      <alignment horizontal="left" vertical="center" wrapText="1"/>
    </xf>
    <xf numFmtId="0" fontId="1" fillId="0" borderId="3"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2" xfId="1" applyFont="1" applyFill="1" applyBorder="1" applyAlignment="1">
      <alignment horizontal="center" vertical="center" wrapText="1"/>
    </xf>
    <xf numFmtId="0" fontId="1" fillId="0" borderId="3" xfId="0" applyFont="1" applyFill="1" applyBorder="1" applyAlignment="1">
      <alignment horizontal="center" vertical="center" wrapText="1"/>
    </xf>
    <xf numFmtId="4" fontId="1" fillId="0" borderId="3" xfId="0" applyNumberFormat="1" applyFont="1" applyFill="1" applyBorder="1" applyAlignment="1">
      <alignment horizontal="center" vertical="center"/>
    </xf>
    <xf numFmtId="49" fontId="1" fillId="0" borderId="3" xfId="0" applyNumberFormat="1" applyFont="1" applyFill="1" applyBorder="1" applyAlignment="1">
      <alignment horizontal="left" vertical="center" wrapText="1"/>
    </xf>
    <xf numFmtId="0" fontId="1" fillId="0" borderId="1" xfId="1" applyFont="1" applyFill="1" applyBorder="1" applyAlignment="1">
      <alignment horizontal="center" vertical="center" wrapText="1"/>
    </xf>
    <xf numFmtId="0" fontId="1" fillId="0" borderId="1" xfId="0" applyFont="1" applyFill="1" applyBorder="1" applyAlignment="1">
      <alignment horizontal="center" vertical="center" wrapText="1"/>
    </xf>
    <xf numFmtId="49" fontId="1" fillId="0" borderId="2" xfId="2" applyNumberFormat="1" applyFont="1" applyFill="1" applyBorder="1" applyAlignment="1">
      <alignment horizontal="left" vertical="center" wrapText="1"/>
    </xf>
    <xf numFmtId="0" fontId="3" fillId="0" borderId="2" xfId="0" applyFont="1" applyFill="1" applyBorder="1" applyAlignment="1">
      <alignment horizontal="center" vertical="center"/>
    </xf>
    <xf numFmtId="0" fontId="3" fillId="0" borderId="2" xfId="0" applyFont="1" applyFill="1" applyBorder="1" applyAlignment="1">
      <alignment vertical="center" wrapText="1"/>
    </xf>
    <xf numFmtId="4" fontId="3" fillId="0" borderId="2" xfId="0" applyNumberFormat="1" applyFont="1" applyFill="1" applyBorder="1" applyAlignment="1">
      <alignment horizontal="right" vertical="center"/>
    </xf>
    <xf numFmtId="49" fontId="3" fillId="0" borderId="2" xfId="0" applyNumberFormat="1" applyFont="1" applyFill="1" applyBorder="1" applyAlignment="1">
      <alignment horizontal="left" vertical="center" wrapText="1"/>
    </xf>
    <xf numFmtId="0" fontId="3" fillId="0" borderId="0" xfId="0" applyFont="1" applyFill="1" applyAlignment="1">
      <alignment vertical="center"/>
    </xf>
    <xf numFmtId="0" fontId="1" fillId="0" borderId="2" xfId="0" applyFont="1" applyFill="1" applyBorder="1" applyAlignment="1">
      <alignment horizontal="right" vertical="center"/>
    </xf>
    <xf numFmtId="2" fontId="1" fillId="0" borderId="2" xfId="0" applyNumberFormat="1" applyFont="1" applyFill="1" applyBorder="1" applyAlignment="1">
      <alignment horizontal="right" vertical="center"/>
    </xf>
    <xf numFmtId="49" fontId="1" fillId="0" borderId="2" xfId="0" applyNumberFormat="1" applyFont="1" applyFill="1" applyBorder="1" applyAlignment="1">
      <alignment vertical="center" wrapText="1"/>
    </xf>
    <xf numFmtId="49" fontId="3" fillId="0" borderId="2" xfId="0" applyNumberFormat="1" applyFont="1" applyFill="1" applyBorder="1" applyAlignment="1">
      <alignment vertical="center" wrapText="1"/>
    </xf>
    <xf numFmtId="49" fontId="3" fillId="0" borderId="1" xfId="0" applyNumberFormat="1" applyFont="1" applyFill="1" applyBorder="1" applyAlignment="1">
      <alignment horizontal="left" vertical="center" wrapText="1"/>
    </xf>
    <xf numFmtId="4" fontId="1" fillId="0" borderId="2" xfId="1" applyNumberFormat="1" applyFont="1" applyFill="1" applyBorder="1" applyAlignment="1">
      <alignment horizontal="right" vertical="center"/>
    </xf>
    <xf numFmtId="4" fontId="1" fillId="0" borderId="2" xfId="0" applyNumberFormat="1" applyFont="1" applyFill="1" applyBorder="1" applyAlignment="1">
      <alignment horizontal="right" vertical="center" wrapText="1"/>
    </xf>
    <xf numFmtId="0" fontId="1" fillId="0" borderId="2" xfId="0" applyFont="1" applyFill="1" applyBorder="1" applyAlignment="1">
      <alignment horizontal="justify" vertical="center" wrapText="1"/>
    </xf>
    <xf numFmtId="0" fontId="1" fillId="0" borderId="2" xfId="1" applyFont="1" applyFill="1" applyBorder="1" applyAlignment="1">
      <alignment vertical="center" wrapText="1"/>
    </xf>
    <xf numFmtId="0" fontId="3" fillId="0" borderId="2" xfId="1" applyFont="1" applyFill="1" applyBorder="1" applyAlignment="1">
      <alignment vertical="center" wrapText="1"/>
    </xf>
    <xf numFmtId="0" fontId="3" fillId="0" borderId="2" xfId="1" applyFont="1" applyFill="1" applyBorder="1" applyAlignment="1">
      <alignment horizontal="center" vertical="center" wrapText="1"/>
    </xf>
    <xf numFmtId="49" fontId="3" fillId="0" borderId="2" xfId="2" applyNumberFormat="1" applyFont="1" applyFill="1" applyBorder="1" applyAlignment="1">
      <alignment horizontal="left" vertical="center" wrapText="1"/>
    </xf>
    <xf numFmtId="49" fontId="1" fillId="0" borderId="2" xfId="1" applyNumberFormat="1" applyFont="1" applyFill="1" applyBorder="1" applyAlignment="1">
      <alignment horizontal="left" vertical="center" wrapText="1"/>
    </xf>
    <xf numFmtId="0" fontId="1" fillId="0" borderId="2" xfId="1" applyFont="1" applyFill="1" applyBorder="1" applyAlignment="1">
      <alignment horizontal="right" vertical="center"/>
    </xf>
    <xf numFmtId="0" fontId="1" fillId="0" borderId="4" xfId="0" applyFont="1" applyFill="1" applyBorder="1" applyAlignment="1">
      <alignment horizontal="center" vertical="center"/>
    </xf>
    <xf numFmtId="49" fontId="3" fillId="0" borderId="2" xfId="0" applyNumberFormat="1" applyFont="1" applyFill="1" applyBorder="1" applyAlignment="1">
      <alignment vertical="center"/>
    </xf>
    <xf numFmtId="0" fontId="1" fillId="2" borderId="0" xfId="0" applyFont="1" applyFill="1" applyAlignment="1">
      <alignment horizontal="center" vertical="center"/>
    </xf>
    <xf numFmtId="0" fontId="1" fillId="2" borderId="0" xfId="0" applyFont="1" applyFill="1" applyAlignment="1">
      <alignment horizontal="right" vertical="center"/>
    </xf>
    <xf numFmtId="49" fontId="1" fillId="2" borderId="0" xfId="0" applyNumberFormat="1" applyFont="1" applyFill="1" applyAlignment="1">
      <alignment vertical="center"/>
    </xf>
    <xf numFmtId="0" fontId="1" fillId="2" borderId="0" xfId="0" applyFont="1" applyFill="1" applyAlignment="1">
      <alignment vertical="center"/>
    </xf>
    <xf numFmtId="0" fontId="3" fillId="2" borderId="3" xfId="0" applyFont="1" applyFill="1" applyBorder="1" applyAlignment="1">
      <alignment horizontal="center" vertical="center"/>
    </xf>
    <xf numFmtId="0" fontId="3" fillId="2" borderId="2" xfId="0" applyFont="1" applyFill="1" applyBorder="1" applyAlignment="1">
      <alignment horizontal="left" vertical="center" wrapText="1"/>
    </xf>
    <xf numFmtId="0" fontId="3" fillId="2" borderId="3" xfId="0" applyFont="1" applyFill="1" applyBorder="1" applyAlignment="1">
      <alignment horizontal="center" vertical="center" wrapText="1"/>
    </xf>
    <xf numFmtId="4" fontId="3" fillId="2" borderId="3"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2" xfId="1" applyFont="1" applyFill="1" applyBorder="1" applyAlignment="1">
      <alignment horizontal="center" vertical="center" wrapText="1"/>
    </xf>
    <xf numFmtId="0" fontId="1" fillId="2" borderId="3" xfId="0" applyFont="1" applyFill="1" applyBorder="1" applyAlignment="1">
      <alignment horizontal="center" vertical="center" wrapText="1"/>
    </xf>
    <xf numFmtId="4"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left" vertical="center" wrapText="1"/>
    </xf>
    <xf numFmtId="0" fontId="1" fillId="2" borderId="1" xfId="1" applyFont="1" applyFill="1" applyBorder="1" applyAlignment="1">
      <alignment horizontal="center" vertical="center" wrapText="1"/>
    </xf>
    <xf numFmtId="4" fontId="1" fillId="2" borderId="2" xfId="0" applyNumberFormat="1" applyFont="1" applyFill="1" applyBorder="1" applyAlignment="1">
      <alignment horizontal="right" vertical="center"/>
    </xf>
    <xf numFmtId="49" fontId="1" fillId="2" borderId="2" xfId="2" applyNumberFormat="1"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49" fontId="1" fillId="2" borderId="2" xfId="0" applyNumberFormat="1" applyFont="1" applyFill="1" applyBorder="1" applyAlignment="1">
      <alignment horizontal="left" vertical="center" wrapText="1"/>
    </xf>
    <xf numFmtId="0" fontId="3" fillId="2" borderId="2" xfId="0" applyFont="1" applyFill="1" applyBorder="1" applyAlignment="1">
      <alignment horizontal="center" vertical="center"/>
    </xf>
    <xf numFmtId="0" fontId="3" fillId="2" borderId="2" xfId="0" applyFont="1" applyFill="1" applyBorder="1" applyAlignment="1">
      <alignment vertical="center" wrapText="1"/>
    </xf>
    <xf numFmtId="0" fontId="3" fillId="2" borderId="2" xfId="0" applyFont="1" applyFill="1" applyBorder="1" applyAlignment="1">
      <alignment horizontal="center" vertical="center" wrapText="1"/>
    </xf>
    <xf numFmtId="4" fontId="3" fillId="2" borderId="2" xfId="0" applyNumberFormat="1" applyFont="1" applyFill="1" applyBorder="1" applyAlignment="1">
      <alignment horizontal="right" vertical="center"/>
    </xf>
    <xf numFmtId="49" fontId="3" fillId="2" borderId="2" xfId="0" applyNumberFormat="1" applyFont="1" applyFill="1" applyBorder="1" applyAlignment="1">
      <alignment horizontal="left" vertical="center" wrapText="1"/>
    </xf>
    <xf numFmtId="0" fontId="3" fillId="2" borderId="0" xfId="0" applyFont="1" applyFill="1" applyAlignment="1">
      <alignment vertical="center"/>
    </xf>
    <xf numFmtId="0" fontId="1" fillId="2" borderId="2" xfId="0" applyFont="1" applyFill="1" applyBorder="1" applyAlignment="1">
      <alignment horizontal="center" vertical="center"/>
    </xf>
    <xf numFmtId="0" fontId="1" fillId="2" borderId="2" xfId="0" applyFont="1" applyFill="1" applyBorder="1" applyAlignment="1">
      <alignment horizontal="right" vertical="center"/>
    </xf>
    <xf numFmtId="49" fontId="1" fillId="2" borderId="2" xfId="0" applyNumberFormat="1" applyFont="1" applyFill="1" applyBorder="1" applyAlignment="1">
      <alignment vertical="center" wrapText="1"/>
    </xf>
    <xf numFmtId="2" fontId="1" fillId="2" borderId="2" xfId="0" applyNumberFormat="1" applyFont="1" applyFill="1" applyBorder="1" applyAlignment="1">
      <alignment horizontal="right" vertical="center"/>
    </xf>
    <xf numFmtId="49" fontId="3" fillId="2" borderId="2" xfId="0" applyNumberFormat="1" applyFont="1" applyFill="1" applyBorder="1" applyAlignment="1">
      <alignment vertical="center" wrapText="1"/>
    </xf>
    <xf numFmtId="49" fontId="3" fillId="2" borderId="1" xfId="0" applyNumberFormat="1" applyFont="1" applyFill="1" applyBorder="1" applyAlignment="1">
      <alignment horizontal="left" vertical="center" wrapText="1"/>
    </xf>
    <xf numFmtId="49" fontId="1" fillId="2" borderId="1" xfId="0" applyNumberFormat="1" applyFont="1" applyFill="1" applyBorder="1" applyAlignment="1">
      <alignment vertical="center" wrapText="1"/>
    </xf>
    <xf numFmtId="0" fontId="1" fillId="2" borderId="2" xfId="0" applyFont="1" applyFill="1" applyBorder="1" applyAlignment="1">
      <alignment vertical="center"/>
    </xf>
    <xf numFmtId="4" fontId="1" fillId="2" borderId="2" xfId="1" applyNumberFormat="1" applyFont="1" applyFill="1" applyBorder="1" applyAlignment="1">
      <alignment horizontal="right" vertical="center"/>
    </xf>
    <xf numFmtId="0" fontId="1" fillId="2" borderId="2" xfId="0" applyFont="1" applyFill="1" applyBorder="1" applyAlignment="1">
      <alignment horizontal="justify" vertical="center" wrapText="1"/>
    </xf>
    <xf numFmtId="4" fontId="1" fillId="2" borderId="2" xfId="0" applyNumberFormat="1" applyFont="1" applyFill="1" applyBorder="1" applyAlignment="1">
      <alignment horizontal="right" vertical="center" wrapText="1"/>
    </xf>
    <xf numFmtId="0" fontId="1" fillId="2" borderId="2" xfId="1" applyFont="1" applyFill="1" applyBorder="1" applyAlignment="1">
      <alignment vertical="center" wrapText="1"/>
    </xf>
    <xf numFmtId="2" fontId="1" fillId="2" borderId="2" xfId="1" applyNumberFormat="1" applyFont="1" applyFill="1" applyBorder="1" applyAlignment="1">
      <alignment horizontal="left" vertical="center" wrapText="1"/>
    </xf>
    <xf numFmtId="2" fontId="1" fillId="2" borderId="2" xfId="1" applyNumberFormat="1" applyFont="1" applyFill="1" applyBorder="1" applyAlignment="1">
      <alignment horizontal="center" vertical="center" wrapText="1"/>
    </xf>
    <xf numFmtId="0" fontId="3" fillId="2" borderId="2" xfId="1" applyFont="1" applyFill="1" applyBorder="1" applyAlignment="1">
      <alignment vertical="center" wrapText="1"/>
    </xf>
    <xf numFmtId="0" fontId="3" fillId="2" borderId="2" xfId="1" applyFont="1" applyFill="1" applyBorder="1" applyAlignment="1">
      <alignment horizontal="center" vertical="center" wrapText="1"/>
    </xf>
    <xf numFmtId="49" fontId="3" fillId="2" borderId="2" xfId="2" applyNumberFormat="1" applyFont="1" applyFill="1" applyBorder="1" applyAlignment="1">
      <alignment horizontal="left" vertical="center" wrapText="1"/>
    </xf>
    <xf numFmtId="0" fontId="1" fillId="2" borderId="2" xfId="1" applyFont="1" applyFill="1" applyBorder="1" applyAlignment="1">
      <alignment horizontal="right" vertical="center"/>
    </xf>
    <xf numFmtId="49" fontId="1" fillId="2" borderId="2" xfId="1" applyNumberFormat="1" applyFont="1" applyFill="1" applyBorder="1" applyAlignment="1">
      <alignment horizontal="left" vertical="center" wrapText="1"/>
    </xf>
    <xf numFmtId="0" fontId="1" fillId="2" borderId="3" xfId="1" applyFont="1" applyFill="1" applyBorder="1" applyAlignment="1">
      <alignment horizontal="center" vertical="center" wrapText="1"/>
    </xf>
    <xf numFmtId="2" fontId="1" fillId="2" borderId="2" xfId="1" applyNumberFormat="1" applyFont="1" applyFill="1" applyBorder="1" applyAlignment="1">
      <alignment horizontal="right" vertical="center"/>
    </xf>
    <xf numFmtId="49" fontId="3" fillId="2" borderId="2" xfId="0" applyNumberFormat="1" applyFont="1" applyFill="1" applyBorder="1" applyAlignment="1">
      <alignment vertical="center"/>
    </xf>
    <xf numFmtId="49" fontId="1" fillId="0" borderId="1" xfId="0" applyNumberFormat="1" applyFont="1" applyFill="1" applyBorder="1" applyAlignment="1">
      <alignment horizontal="left" vertical="center" wrapText="1"/>
    </xf>
    <xf numFmtId="0" fontId="1" fillId="0" borderId="1" xfId="0" applyFont="1" applyFill="1" applyBorder="1" applyAlignment="1">
      <alignment horizontal="left" vertical="center" wrapText="1"/>
    </xf>
    <xf numFmtId="0" fontId="5"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49" fontId="1" fillId="2" borderId="1" xfId="0" applyNumberFormat="1" applyFont="1" applyFill="1" applyBorder="1" applyAlignment="1">
      <alignment horizontal="left" vertical="center" wrapText="1"/>
    </xf>
    <xf numFmtId="49" fontId="1" fillId="2" borderId="3"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1" fillId="2" borderId="0" xfId="0" applyFont="1" applyFill="1" applyAlignment="1">
      <alignment horizontal="left" vertical="center"/>
    </xf>
    <xf numFmtId="0" fontId="3" fillId="2" borderId="0" xfId="0" applyFont="1" applyFill="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1" fillId="2" borderId="1" xfId="1" applyFont="1" applyFill="1" applyBorder="1" applyAlignment="1">
      <alignment horizontal="left" vertical="center" wrapText="1"/>
    </xf>
    <xf numFmtId="0" fontId="1" fillId="2" borderId="3" xfId="1"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49" fontId="1" fillId="0" borderId="3" xfId="0" applyNumberFormat="1" applyFont="1" applyFill="1" applyBorder="1" applyAlignment="1">
      <alignment horizontal="left" vertical="center" wrapText="1"/>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1" fillId="0" borderId="0" xfId="0" applyFont="1" applyFill="1" applyAlignment="1">
      <alignment horizontal="left" vertical="center"/>
    </xf>
    <xf numFmtId="0" fontId="7" fillId="0" borderId="0" xfId="0" applyFont="1" applyFill="1" applyAlignment="1">
      <alignment horizontal="center" vertical="center" wrapText="1"/>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1" xfId="1" applyFont="1" applyFill="1" applyBorder="1" applyAlignment="1">
      <alignment horizontal="left" vertical="center" wrapText="1"/>
    </xf>
    <xf numFmtId="0" fontId="1" fillId="0" borderId="3" xfId="1" applyFont="1" applyFill="1" applyBorder="1" applyAlignment="1">
      <alignment horizontal="left" vertical="center" wrapText="1"/>
    </xf>
    <xf numFmtId="0" fontId="6" fillId="0" borderId="0" xfId="0" applyFont="1" applyFill="1" applyBorder="1" applyAlignment="1">
      <alignment horizontal="center" vertical="center" wrapText="1"/>
    </xf>
    <xf numFmtId="0" fontId="5" fillId="0" borderId="0" xfId="0" applyFont="1" applyFill="1" applyBorder="1" applyAlignment="1">
      <alignment horizontal="center" vertical="center"/>
    </xf>
  </cellXfs>
  <cellStyles count="5">
    <cellStyle name="Normal" xfId="0" builtinId="0"/>
    <cellStyle name="Normal 2 10" xfId="1"/>
    <cellStyle name="Normal 2 10 2" xfId="2"/>
    <cellStyle name="Normal 2 11" xfId="4"/>
    <cellStyle name="Normal 569" xfId="3"/>
  </cellStyles>
  <dxfs count="1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3.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QUY%20HOACH,%20KE%20HOACH%20SU%20DUNG%20DAT\KE%20HOACH%20SU%20DUNG%20DAT\KHSDD%202020\C&#225;c%20c&#244;ng%20tr&#236;nh%20kh&#244;ng%20c&#243;%20trong%20NQ%2046\Phap%20ly\Bieu%2010b-C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P\Downloads\An%20Nhon%20dcqh2020_ra%20soat%20nghi%20quye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QUY%20HOACH,%20KE%20HOACH%20SU%20DUNG%20DAT\KE%20HOACH%20SU%20DUNG%20DAT\KHSDD%202020\C&#225;c%20c&#244;ng%20tr&#236;nh%20kh&#244;ng%20c&#243;%20trong%20NQ%2046\An%20Nhon_KH2020\2.KH2020.ANNHO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0aCH goc"/>
      <sheetName val="10aCH bieu goc"/>
      <sheetName val="10aCH (2)"/>
      <sheetName val="10b-3CH"/>
      <sheetName val="RDD"/>
      <sheetName val="data10b3-sum"/>
      <sheetName val="data10b3-count"/>
      <sheetName val="10b2CH"/>
      <sheetName val="LUA"/>
      <sheetName val="RPH"/>
      <sheetName val="data10b2-sum"/>
      <sheetName val="data10b2-count"/>
      <sheetName val="10b1CH"/>
      <sheetName val="10bCH"/>
      <sheetName val="data10bRDDsum"/>
      <sheetName val="data10bRDDcount"/>
      <sheetName val="data10bRPHsum"/>
      <sheetName val="data10bRPHcount"/>
      <sheetName val="data10bLUAsum"/>
      <sheetName val="data10bLUAcount"/>
      <sheetName val="RPH10c"/>
      <sheetName val="RDD10c"/>
      <sheetName val="LUA10c"/>
      <sheetName val="data10cRDDsum"/>
      <sheetName val="data10cRDDcount"/>
      <sheetName val="data10cRPHsum"/>
      <sheetName val="data10cRPHcount"/>
      <sheetName val="data10cLUAsum"/>
      <sheetName val="data10cLUAcount"/>
      <sheetName val="datapb10a-sum"/>
      <sheetName val="datapb10a-count"/>
      <sheetName val="pbthuhoi"/>
      <sheetName val="pbRDD10b"/>
      <sheetName val="pbRPH10b"/>
      <sheetName val="pbLUA10b"/>
      <sheetName val="datapb 10bRDD-count"/>
      <sheetName val="datapb 10bRDD-sum"/>
      <sheetName val="datapb 10bRPH-sum"/>
      <sheetName val="datapb 10bRPH-count"/>
      <sheetName val="datapb 10bLUA-sum"/>
      <sheetName val="datapb 10bLUA-count"/>
      <sheetName val="pbRDD10c"/>
      <sheetName val="pbRPH10c"/>
      <sheetName val="pbLUA10c"/>
      <sheetName val="datapb 10cRDD-sum"/>
      <sheetName val="datapb 10cRDD-count"/>
      <sheetName val="datapb 10cRPH-count"/>
      <sheetName val="datapb 10cRPH-sum"/>
      <sheetName val="datapb 10cLUA-sum"/>
      <sheetName val="datapb 10cLUA-count"/>
      <sheetName val="lua CMD"/>
      <sheetName val="data10b-count"/>
      <sheetName val="data10b-sum"/>
      <sheetName val="data10a-sum"/>
      <sheetName val="data10a-count"/>
      <sheetName val="thuho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ow r="1">
          <cell r="A1" t="str">
            <v>Sum of Đất rừng đặc dụng</v>
          </cell>
        </row>
        <row r="2">
          <cell r="A2" t="str">
            <v>Mã loại đất</v>
          </cell>
          <cell r="B2" t="str">
            <v>Total</v>
          </cell>
        </row>
        <row r="3">
          <cell r="A3" t="str">
            <v>DNL</v>
          </cell>
        </row>
        <row r="4">
          <cell r="A4" t="str">
            <v>SKC</v>
          </cell>
        </row>
        <row r="5">
          <cell r="A5" t="str">
            <v>DGT</v>
          </cell>
        </row>
        <row r="6">
          <cell r="A6" t="str">
            <v>DTL</v>
          </cell>
        </row>
        <row r="7">
          <cell r="A7" t="str">
            <v>ONT</v>
          </cell>
        </row>
        <row r="8">
          <cell r="A8" t="str">
            <v>ODT</v>
          </cell>
        </row>
        <row r="9">
          <cell r="A9" t="str">
            <v>DGD</v>
          </cell>
        </row>
        <row r="10">
          <cell r="A10" t="str">
            <v>DTT</v>
          </cell>
        </row>
        <row r="11">
          <cell r="A11" t="str">
            <v>DCH</v>
          </cell>
        </row>
        <row r="12">
          <cell r="A12" t="str">
            <v>DSH</v>
          </cell>
        </row>
        <row r="13">
          <cell r="A13" t="str">
            <v>Grand Total</v>
          </cell>
        </row>
      </sheetData>
      <sheetData sheetId="15">
        <row r="1">
          <cell r="A1" t="str">
            <v>Count of Đất rừng đặc dụng</v>
          </cell>
        </row>
        <row r="2">
          <cell r="A2" t="str">
            <v>Mã loại đất</v>
          </cell>
          <cell r="B2" t="str">
            <v>Total</v>
          </cell>
        </row>
        <row r="3">
          <cell r="A3" t="str">
            <v>DNL</v>
          </cell>
        </row>
        <row r="4">
          <cell r="A4" t="str">
            <v>SKC</v>
          </cell>
        </row>
        <row r="5">
          <cell r="A5" t="str">
            <v>DGT</v>
          </cell>
        </row>
        <row r="6">
          <cell r="A6" t="str">
            <v>DTL</v>
          </cell>
        </row>
        <row r="7">
          <cell r="A7" t="str">
            <v>ONT</v>
          </cell>
        </row>
        <row r="8">
          <cell r="A8" t="str">
            <v>ODT</v>
          </cell>
        </row>
        <row r="9">
          <cell r="A9" t="str">
            <v>DGD</v>
          </cell>
        </row>
        <row r="10">
          <cell r="A10" t="str">
            <v>DTT</v>
          </cell>
        </row>
        <row r="11">
          <cell r="A11" t="str">
            <v>DCH</v>
          </cell>
        </row>
        <row r="12">
          <cell r="A12" t="str">
            <v>DSH</v>
          </cell>
        </row>
        <row r="13">
          <cell r="A13" t="str">
            <v>Grand Total</v>
          </cell>
        </row>
      </sheetData>
      <sheetData sheetId="16">
        <row r="1">
          <cell r="A1" t="str">
            <v>Sum of Đất rừng phòng hộ</v>
          </cell>
        </row>
        <row r="2">
          <cell r="A2" t="str">
            <v>Mã loại đất</v>
          </cell>
          <cell r="B2" t="str">
            <v>Total</v>
          </cell>
        </row>
        <row r="3">
          <cell r="A3" t="str">
            <v>DNL</v>
          </cell>
        </row>
        <row r="4">
          <cell r="A4" t="str">
            <v>SKC</v>
          </cell>
        </row>
        <row r="5">
          <cell r="A5" t="str">
            <v>DGT</v>
          </cell>
        </row>
        <row r="6">
          <cell r="A6" t="str">
            <v>DTL</v>
          </cell>
        </row>
        <row r="7">
          <cell r="A7" t="str">
            <v>ONT</v>
          </cell>
        </row>
        <row r="8">
          <cell r="A8" t="str">
            <v>ODT</v>
          </cell>
        </row>
        <row r="9">
          <cell r="A9" t="str">
            <v>DGD</v>
          </cell>
        </row>
        <row r="10">
          <cell r="A10" t="str">
            <v>DTT</v>
          </cell>
        </row>
        <row r="11">
          <cell r="A11" t="str">
            <v>DCH</v>
          </cell>
        </row>
        <row r="12">
          <cell r="A12" t="str">
            <v>DSH</v>
          </cell>
        </row>
        <row r="13">
          <cell r="A13" t="str">
            <v>Grand Total</v>
          </cell>
        </row>
      </sheetData>
      <sheetData sheetId="17">
        <row r="1">
          <cell r="A1" t="str">
            <v>Count of Đất rừng phòng hộ</v>
          </cell>
        </row>
        <row r="2">
          <cell r="A2" t="str">
            <v>Mã loại đất</v>
          </cell>
          <cell r="B2" t="str">
            <v>Total</v>
          </cell>
        </row>
        <row r="3">
          <cell r="A3" t="str">
            <v>DNL</v>
          </cell>
        </row>
        <row r="4">
          <cell r="A4" t="str">
            <v>SKC</v>
          </cell>
        </row>
        <row r="5">
          <cell r="A5" t="str">
            <v>DGT</v>
          </cell>
        </row>
        <row r="6">
          <cell r="A6" t="str">
            <v>DTL</v>
          </cell>
        </row>
        <row r="7">
          <cell r="A7" t="str">
            <v>ONT</v>
          </cell>
        </row>
        <row r="8">
          <cell r="A8" t="str">
            <v>ODT</v>
          </cell>
        </row>
        <row r="9">
          <cell r="A9" t="str">
            <v>DGD</v>
          </cell>
        </row>
        <row r="10">
          <cell r="A10" t="str">
            <v>DTT</v>
          </cell>
        </row>
        <row r="11">
          <cell r="A11" t="str">
            <v>DCH</v>
          </cell>
        </row>
        <row r="12">
          <cell r="A12" t="str">
            <v>DSH</v>
          </cell>
        </row>
        <row r="13">
          <cell r="A13" t="str">
            <v>Grand Total</v>
          </cell>
        </row>
      </sheetData>
      <sheetData sheetId="18">
        <row r="1">
          <cell r="A1" t="str">
            <v>Sum of Đất trồng lúa</v>
          </cell>
        </row>
        <row r="2">
          <cell r="A2" t="str">
            <v>Mã loại đất</v>
          </cell>
          <cell r="B2" t="str">
            <v>Total</v>
          </cell>
        </row>
        <row r="3">
          <cell r="A3" t="str">
            <v>DNL</v>
          </cell>
          <cell r="B3">
            <v>10</v>
          </cell>
        </row>
        <row r="4">
          <cell r="A4" t="str">
            <v>SKC</v>
          </cell>
          <cell r="B4">
            <v>3.9699999999999998</v>
          </cell>
        </row>
        <row r="5">
          <cell r="A5" t="str">
            <v>DGT</v>
          </cell>
          <cell r="B5">
            <v>4.4799999999999986</v>
          </cell>
        </row>
        <row r="6">
          <cell r="A6" t="str">
            <v>DTL</v>
          </cell>
          <cell r="B6">
            <v>1.72</v>
          </cell>
        </row>
        <row r="7">
          <cell r="A7" t="str">
            <v>ONT</v>
          </cell>
          <cell r="B7">
            <v>8.4</v>
          </cell>
        </row>
        <row r="8">
          <cell r="A8" t="str">
            <v>ODT</v>
          </cell>
          <cell r="B8">
            <v>27.5</v>
          </cell>
        </row>
        <row r="9">
          <cell r="A9" t="str">
            <v>DGD</v>
          </cell>
          <cell r="B9">
            <v>0.05</v>
          </cell>
        </row>
        <row r="10">
          <cell r="A10" t="str">
            <v>DTT</v>
          </cell>
          <cell r="B10">
            <v>1.62</v>
          </cell>
        </row>
        <row r="11">
          <cell r="A11" t="str">
            <v>DCH</v>
          </cell>
          <cell r="B11">
            <v>0.05</v>
          </cell>
        </row>
        <row r="12">
          <cell r="A12" t="str">
            <v>DSH</v>
          </cell>
          <cell r="B12">
            <v>0.15</v>
          </cell>
        </row>
        <row r="13">
          <cell r="A13" t="str">
            <v>Grand Total</v>
          </cell>
          <cell r="B13">
            <v>57.939999999999984</v>
          </cell>
        </row>
      </sheetData>
      <sheetData sheetId="19">
        <row r="1">
          <cell r="A1" t="str">
            <v>Count of Đất trồng lúa</v>
          </cell>
        </row>
        <row r="2">
          <cell r="A2" t="str">
            <v>Mã loại đất</v>
          </cell>
          <cell r="B2" t="str">
            <v>Total</v>
          </cell>
        </row>
        <row r="3">
          <cell r="A3" t="str">
            <v>DNL</v>
          </cell>
          <cell r="B3">
            <v>2</v>
          </cell>
        </row>
        <row r="4">
          <cell r="A4" t="str">
            <v>SKC</v>
          </cell>
          <cell r="B4">
            <v>3</v>
          </cell>
        </row>
        <row r="5">
          <cell r="A5" t="str">
            <v>DGT</v>
          </cell>
          <cell r="B5">
            <v>10</v>
          </cell>
        </row>
        <row r="6">
          <cell r="A6" t="str">
            <v>DTL</v>
          </cell>
          <cell r="B6">
            <v>5</v>
          </cell>
        </row>
        <row r="7">
          <cell r="A7" t="str">
            <v>ONT</v>
          </cell>
          <cell r="B7">
            <v>12</v>
          </cell>
        </row>
        <row r="8">
          <cell r="A8" t="str">
            <v>ODT</v>
          </cell>
          <cell r="B8">
            <v>3</v>
          </cell>
        </row>
        <row r="9">
          <cell r="A9" t="str">
            <v>DGD</v>
          </cell>
          <cell r="B9">
            <v>1</v>
          </cell>
        </row>
        <row r="10">
          <cell r="A10" t="str">
            <v>DTT</v>
          </cell>
          <cell r="B10">
            <v>2</v>
          </cell>
        </row>
        <row r="11">
          <cell r="A11" t="str">
            <v>DCH</v>
          </cell>
          <cell r="B11">
            <v>1</v>
          </cell>
        </row>
        <row r="12">
          <cell r="A12" t="str">
            <v>DSH</v>
          </cell>
          <cell r="B12">
            <v>1</v>
          </cell>
        </row>
        <row r="13">
          <cell r="A13" t="str">
            <v>Grand Total</v>
          </cell>
          <cell r="B13">
            <v>40</v>
          </cell>
        </row>
      </sheetData>
      <sheetData sheetId="20" refreshError="1"/>
      <sheetData sheetId="21" refreshError="1"/>
      <sheetData sheetId="22" refreshError="1"/>
      <sheetData sheetId="23">
        <row r="1">
          <cell r="A1" t="str">
            <v>Sum of (8)</v>
          </cell>
        </row>
        <row r="2">
          <cell r="A2" t="str">
            <v>(3)</v>
          </cell>
          <cell r="B2" t="str">
            <v>Total</v>
          </cell>
        </row>
        <row r="3">
          <cell r="A3" t="str">
            <v>(blank)</v>
          </cell>
        </row>
        <row r="4">
          <cell r="A4" t="str">
            <v>Grand Total</v>
          </cell>
        </row>
      </sheetData>
      <sheetData sheetId="24">
        <row r="1">
          <cell r="A1" t="str">
            <v>Count of (8)</v>
          </cell>
        </row>
        <row r="2">
          <cell r="A2" t="str">
            <v>(3)</v>
          </cell>
          <cell r="B2" t="str">
            <v>Total</v>
          </cell>
        </row>
        <row r="3">
          <cell r="A3" t="str">
            <v>(blank)</v>
          </cell>
        </row>
        <row r="4">
          <cell r="A4" t="str">
            <v>Grand Total</v>
          </cell>
        </row>
      </sheetData>
      <sheetData sheetId="25">
        <row r="1">
          <cell r="A1" t="str">
            <v>Sum of (7)</v>
          </cell>
        </row>
        <row r="2">
          <cell r="A2" t="str">
            <v>(3)</v>
          </cell>
          <cell r="B2" t="str">
            <v>Total</v>
          </cell>
        </row>
        <row r="3">
          <cell r="A3" t="str">
            <v>(blank)</v>
          </cell>
        </row>
        <row r="4">
          <cell r="A4" t="str">
            <v>Grand Total</v>
          </cell>
        </row>
      </sheetData>
      <sheetData sheetId="26">
        <row r="1">
          <cell r="A1" t="str">
            <v>Count of (7)</v>
          </cell>
        </row>
        <row r="2">
          <cell r="A2" t="str">
            <v>(3)</v>
          </cell>
          <cell r="B2" t="str">
            <v>Total</v>
          </cell>
        </row>
        <row r="3">
          <cell r="A3" t="str">
            <v>(blank)</v>
          </cell>
        </row>
        <row r="4">
          <cell r="A4" t="str">
            <v>Grand Total</v>
          </cell>
        </row>
      </sheetData>
      <sheetData sheetId="27">
        <row r="1">
          <cell r="A1" t="str">
            <v>Sum of (4)</v>
          </cell>
        </row>
        <row r="2">
          <cell r="A2" t="str">
            <v>(3)</v>
          </cell>
          <cell r="B2" t="str">
            <v>Total</v>
          </cell>
        </row>
        <row r="3">
          <cell r="A3" t="str">
            <v>(blank)</v>
          </cell>
        </row>
        <row r="4">
          <cell r="A4" t="str">
            <v>Grand Total</v>
          </cell>
        </row>
      </sheetData>
      <sheetData sheetId="28">
        <row r="1">
          <cell r="A1" t="str">
            <v>Count of (4)</v>
          </cell>
        </row>
        <row r="2">
          <cell r="A2" t="str">
            <v>(3)</v>
          </cell>
          <cell r="B2" t="str">
            <v>Total</v>
          </cell>
        </row>
        <row r="3">
          <cell r="A3" t="str">
            <v>Grand Total</v>
          </cell>
        </row>
      </sheetData>
      <sheetData sheetId="29">
        <row r="1">
          <cell r="A1" t="str">
            <v>Sum of (7)</v>
          </cell>
        </row>
        <row r="2">
          <cell r="A2" t="str">
            <v>(3)</v>
          </cell>
          <cell r="B2" t="str">
            <v>Total</v>
          </cell>
        </row>
        <row r="3">
          <cell r="A3" t="str">
            <v>(blank)</v>
          </cell>
        </row>
        <row r="4">
          <cell r="A4" t="str">
            <v>Grand Total</v>
          </cell>
        </row>
      </sheetData>
      <sheetData sheetId="30">
        <row r="1">
          <cell r="A1" t="str">
            <v>Count of (7)</v>
          </cell>
        </row>
        <row r="2">
          <cell r="A2" t="str">
            <v>(3)</v>
          </cell>
          <cell r="B2" t="str">
            <v>Total</v>
          </cell>
        </row>
        <row r="3">
          <cell r="A3" t="str">
            <v>(blank)</v>
          </cell>
        </row>
        <row r="4">
          <cell r="A4" t="str">
            <v>Grand Total</v>
          </cell>
        </row>
      </sheetData>
      <sheetData sheetId="31" refreshError="1"/>
      <sheetData sheetId="32" refreshError="1"/>
      <sheetData sheetId="33" refreshError="1"/>
      <sheetData sheetId="34" refreshError="1"/>
      <sheetData sheetId="35">
        <row r="1">
          <cell r="A1" t="str">
            <v>Count of (10)</v>
          </cell>
        </row>
        <row r="2">
          <cell r="A2" t="str">
            <v>(3)</v>
          </cell>
          <cell r="B2" t="str">
            <v>Total</v>
          </cell>
        </row>
        <row r="3">
          <cell r="A3" t="str">
            <v>(blank)</v>
          </cell>
        </row>
        <row r="4">
          <cell r="A4" t="str">
            <v>Grand Total</v>
          </cell>
        </row>
      </sheetData>
      <sheetData sheetId="36">
        <row r="1">
          <cell r="A1" t="str">
            <v>Sum of (10)</v>
          </cell>
        </row>
        <row r="2">
          <cell r="A2" t="str">
            <v>(3)</v>
          </cell>
          <cell r="B2" t="str">
            <v>Total</v>
          </cell>
        </row>
        <row r="3">
          <cell r="A3" t="str">
            <v>(blank)</v>
          </cell>
        </row>
        <row r="4">
          <cell r="A4" t="str">
            <v>Grand Total</v>
          </cell>
        </row>
      </sheetData>
      <sheetData sheetId="37">
        <row r="1">
          <cell r="A1" t="str">
            <v>Sum of (8)</v>
          </cell>
        </row>
        <row r="2">
          <cell r="A2" t="str">
            <v>(3)</v>
          </cell>
          <cell r="B2" t="str">
            <v>Total</v>
          </cell>
        </row>
        <row r="3">
          <cell r="A3" t="str">
            <v>(blank)</v>
          </cell>
        </row>
        <row r="4">
          <cell r="A4" t="str">
            <v>Grand Total</v>
          </cell>
        </row>
      </sheetData>
      <sheetData sheetId="38">
        <row r="1">
          <cell r="A1" t="str">
            <v>Count of (8)</v>
          </cell>
        </row>
        <row r="2">
          <cell r="A2" t="str">
            <v>(3)</v>
          </cell>
          <cell r="B2" t="str">
            <v>Total</v>
          </cell>
        </row>
        <row r="3">
          <cell r="A3" t="str">
            <v>(blank)</v>
          </cell>
        </row>
        <row r="4">
          <cell r="A4" t="str">
            <v>Grand Total</v>
          </cell>
        </row>
      </sheetData>
      <sheetData sheetId="39">
        <row r="1">
          <cell r="A1" t="str">
            <v>Sum of (6)</v>
          </cell>
        </row>
        <row r="2">
          <cell r="A2" t="str">
            <v>(3)</v>
          </cell>
          <cell r="B2" t="str">
            <v>Total</v>
          </cell>
        </row>
        <row r="3">
          <cell r="A3" t="str">
            <v>(blank)</v>
          </cell>
        </row>
        <row r="4">
          <cell r="A4" t="str">
            <v>Grand Total</v>
          </cell>
        </row>
      </sheetData>
      <sheetData sheetId="40">
        <row r="1">
          <cell r="A1" t="str">
            <v>Count of (6)</v>
          </cell>
        </row>
        <row r="2">
          <cell r="A2" t="str">
            <v>(3)</v>
          </cell>
          <cell r="B2" t="str">
            <v>Total</v>
          </cell>
        </row>
        <row r="3">
          <cell r="A3" t="str">
            <v>(blank)</v>
          </cell>
        </row>
        <row r="4">
          <cell r="A4" t="str">
            <v>Grand Total</v>
          </cell>
        </row>
      </sheetData>
      <sheetData sheetId="41" refreshError="1"/>
      <sheetData sheetId="42" refreshError="1"/>
      <sheetData sheetId="43" refreshError="1"/>
      <sheetData sheetId="44">
        <row r="1">
          <cell r="A1" t="str">
            <v>Sum of (10)</v>
          </cell>
        </row>
        <row r="2">
          <cell r="A2" t="str">
            <v>(3)</v>
          </cell>
          <cell r="B2" t="str">
            <v>Total</v>
          </cell>
        </row>
        <row r="3">
          <cell r="A3" t="str">
            <v>(blank)</v>
          </cell>
        </row>
        <row r="4">
          <cell r="A4" t="str">
            <v>Grand Total</v>
          </cell>
        </row>
      </sheetData>
      <sheetData sheetId="45">
        <row r="1">
          <cell r="A1" t="str">
            <v>Count of (10)</v>
          </cell>
        </row>
        <row r="2">
          <cell r="A2" t="str">
            <v>(3)</v>
          </cell>
          <cell r="B2" t="str">
            <v>Total</v>
          </cell>
        </row>
        <row r="3">
          <cell r="A3" t="str">
            <v>(blank)</v>
          </cell>
        </row>
        <row r="4">
          <cell r="A4" t="str">
            <v>Grand Total</v>
          </cell>
        </row>
      </sheetData>
      <sheetData sheetId="46">
        <row r="1">
          <cell r="A1" t="str">
            <v>Count of (8)</v>
          </cell>
        </row>
        <row r="2">
          <cell r="A2" t="str">
            <v>(3)</v>
          </cell>
          <cell r="B2" t="str">
            <v>Total</v>
          </cell>
        </row>
        <row r="3">
          <cell r="A3" t="str">
            <v>(blank)</v>
          </cell>
        </row>
        <row r="4">
          <cell r="A4" t="str">
            <v>Grand Total</v>
          </cell>
        </row>
      </sheetData>
      <sheetData sheetId="47">
        <row r="1">
          <cell r="A1" t="str">
            <v>Sum of (8)</v>
          </cell>
        </row>
        <row r="2">
          <cell r="A2" t="str">
            <v>(3)</v>
          </cell>
          <cell r="B2" t="str">
            <v>Total</v>
          </cell>
        </row>
        <row r="3">
          <cell r="A3" t="str">
            <v>(blank)</v>
          </cell>
        </row>
        <row r="4">
          <cell r="A4" t="str">
            <v>Grand Total</v>
          </cell>
        </row>
      </sheetData>
      <sheetData sheetId="48">
        <row r="1">
          <cell r="A1" t="str">
            <v>Sum of (6)</v>
          </cell>
        </row>
        <row r="2">
          <cell r="A2" t="str">
            <v>(3)</v>
          </cell>
        </row>
        <row r="3">
          <cell r="A3" t="str">
            <v>(blank)</v>
          </cell>
        </row>
        <row r="4">
          <cell r="A4" t="str">
            <v>Grand Total</v>
          </cell>
        </row>
      </sheetData>
      <sheetData sheetId="49">
        <row r="1">
          <cell r="A1" t="str">
            <v>Count of (6)</v>
          </cell>
        </row>
        <row r="2">
          <cell r="A2" t="str">
            <v>(3)</v>
          </cell>
          <cell r="B2" t="str">
            <v>Total</v>
          </cell>
        </row>
        <row r="3">
          <cell r="A3" t="str">
            <v>(blank)</v>
          </cell>
        </row>
        <row r="4">
          <cell r="A4" t="str">
            <v>Grand Total</v>
          </cell>
        </row>
      </sheetData>
      <sheetData sheetId="50" refreshError="1"/>
      <sheetData sheetId="51">
        <row r="1">
          <cell r="A1" t="str">
            <v>Count of Tổng số</v>
          </cell>
        </row>
        <row r="2">
          <cell r="A2" t="str">
            <v>Mã loại đất</v>
          </cell>
          <cell r="B2" t="str">
            <v>Total</v>
          </cell>
        </row>
        <row r="3">
          <cell r="A3" t="str">
            <v>Grand Total</v>
          </cell>
        </row>
      </sheetData>
      <sheetData sheetId="52">
        <row r="1">
          <cell r="A1" t="str">
            <v>Sum of Tổng số</v>
          </cell>
        </row>
        <row r="2">
          <cell r="A2" t="str">
            <v>Mã loại đất</v>
          </cell>
          <cell r="B2" t="str">
            <v>Total</v>
          </cell>
        </row>
        <row r="3">
          <cell r="A3" t="str">
            <v>Grand Total</v>
          </cell>
        </row>
      </sheetData>
      <sheetData sheetId="53">
        <row r="1">
          <cell r="A1" t="str">
            <v>Sum of Diện tích</v>
          </cell>
        </row>
        <row r="2">
          <cell r="A2" t="str">
            <v>Mã loại đất</v>
          </cell>
          <cell r="B2" t="str">
            <v>Total</v>
          </cell>
        </row>
        <row r="3">
          <cell r="A3">
            <v>3</v>
          </cell>
          <cell r="B3">
            <v>6</v>
          </cell>
        </row>
        <row r="4">
          <cell r="A4" t="str">
            <v>NKH</v>
          </cell>
          <cell r="B4">
            <v>138.15</v>
          </cell>
        </row>
        <row r="5">
          <cell r="A5" t="str">
            <v>DYT</v>
          </cell>
          <cell r="B5">
            <v>0.1</v>
          </cell>
        </row>
        <row r="6">
          <cell r="A6" t="str">
            <v>DGD</v>
          </cell>
          <cell r="B6">
            <v>2.02</v>
          </cell>
        </row>
        <row r="7">
          <cell r="A7" t="str">
            <v>DGT</v>
          </cell>
          <cell r="B7">
            <v>16.907799999999998</v>
          </cell>
        </row>
        <row r="8">
          <cell r="A8" t="str">
            <v>DTL</v>
          </cell>
          <cell r="B8">
            <v>23.977499999999999</v>
          </cell>
        </row>
        <row r="9">
          <cell r="A9" t="str">
            <v>DCH</v>
          </cell>
          <cell r="B9">
            <v>1.5</v>
          </cell>
        </row>
        <row r="10">
          <cell r="A10" t="str">
            <v>ONT</v>
          </cell>
          <cell r="B10">
            <v>101.21000000000001</v>
          </cell>
        </row>
        <row r="11">
          <cell r="A11" t="str">
            <v>ODT</v>
          </cell>
          <cell r="B11">
            <v>35.615290000000002</v>
          </cell>
        </row>
        <row r="12">
          <cell r="A12" t="str">
            <v>TSC</v>
          </cell>
          <cell r="B12">
            <v>0.2</v>
          </cell>
        </row>
        <row r="13">
          <cell r="A13" t="str">
            <v>DSH</v>
          </cell>
          <cell r="B13">
            <v>1.55</v>
          </cell>
        </row>
        <row r="14">
          <cell r="A14" t="str">
            <v>DTT</v>
          </cell>
          <cell r="B14">
            <v>4.5600000000000005</v>
          </cell>
        </row>
        <row r="15">
          <cell r="A15" t="str">
            <v>DNL</v>
          </cell>
          <cell r="B15">
            <v>149.67000000000002</v>
          </cell>
        </row>
        <row r="16">
          <cell r="A16" t="str">
            <v>DRA</v>
          </cell>
          <cell r="B16">
            <v>0.5</v>
          </cell>
        </row>
        <row r="17">
          <cell r="A17" t="str">
            <v>NTD</v>
          </cell>
          <cell r="B17">
            <v>35.230000000000004</v>
          </cell>
        </row>
        <row r="18">
          <cell r="A18" t="str">
            <v>LUA</v>
          </cell>
          <cell r="B18">
            <v>0.92</v>
          </cell>
        </row>
        <row r="19">
          <cell r="A19" t="str">
            <v>HNK</v>
          </cell>
          <cell r="B19">
            <v>0.43</v>
          </cell>
        </row>
        <row r="20">
          <cell r="A20" t="str">
            <v>CLN</v>
          </cell>
          <cell r="B20">
            <v>26.45</v>
          </cell>
        </row>
        <row r="21">
          <cell r="A21" t="str">
            <v>NTS</v>
          </cell>
          <cell r="B21">
            <v>0.1</v>
          </cell>
        </row>
        <row r="22">
          <cell r="A22" t="str">
            <v>SKK</v>
          </cell>
          <cell r="B22">
            <v>256.28999999999996</v>
          </cell>
        </row>
        <row r="23">
          <cell r="A23" t="str">
            <v>SKN</v>
          </cell>
          <cell r="B23">
            <v>204.5</v>
          </cell>
        </row>
        <row r="24">
          <cell r="A24" t="str">
            <v>DDT</v>
          </cell>
          <cell r="B24">
            <v>3.84</v>
          </cell>
        </row>
        <row r="25">
          <cell r="A25" t="str">
            <v>DTS</v>
          </cell>
          <cell r="B25">
            <v>0.35</v>
          </cell>
        </row>
        <row r="26">
          <cell r="A26" t="str">
            <v>Grand Total</v>
          </cell>
          <cell r="B26">
            <v>1010.07059</v>
          </cell>
        </row>
      </sheetData>
      <sheetData sheetId="54">
        <row r="3">
          <cell r="A3" t="str">
            <v>Count of Diện tích</v>
          </cell>
        </row>
        <row r="4">
          <cell r="A4" t="str">
            <v>Mã loại đất</v>
          </cell>
          <cell r="B4" t="str">
            <v>Total</v>
          </cell>
        </row>
        <row r="5">
          <cell r="A5">
            <v>3</v>
          </cell>
          <cell r="B5">
            <v>1</v>
          </cell>
        </row>
        <row r="6">
          <cell r="A6" t="str">
            <v>NKH</v>
          </cell>
          <cell r="B6">
            <v>8</v>
          </cell>
        </row>
        <row r="7">
          <cell r="A7" t="str">
            <v>DYT</v>
          </cell>
          <cell r="B7">
            <v>1</v>
          </cell>
        </row>
        <row r="8">
          <cell r="A8" t="str">
            <v>DGD</v>
          </cell>
          <cell r="B8">
            <v>10</v>
          </cell>
        </row>
        <row r="9">
          <cell r="A9" t="str">
            <v>DGT</v>
          </cell>
          <cell r="B9">
            <v>12</v>
          </cell>
        </row>
        <row r="10">
          <cell r="A10" t="str">
            <v>DTL</v>
          </cell>
          <cell r="B10">
            <v>16</v>
          </cell>
        </row>
        <row r="11">
          <cell r="A11" t="str">
            <v>DCH</v>
          </cell>
          <cell r="B11">
            <v>4</v>
          </cell>
        </row>
        <row r="12">
          <cell r="A12" t="str">
            <v>ONT</v>
          </cell>
          <cell r="B12">
            <v>18</v>
          </cell>
        </row>
        <row r="13">
          <cell r="A13" t="str">
            <v>ODT</v>
          </cell>
          <cell r="B13">
            <v>5</v>
          </cell>
        </row>
        <row r="14">
          <cell r="A14" t="str">
            <v>TSC</v>
          </cell>
          <cell r="B14">
            <v>3</v>
          </cell>
        </row>
        <row r="15">
          <cell r="A15" t="str">
            <v>DSH</v>
          </cell>
          <cell r="B15">
            <v>4</v>
          </cell>
        </row>
        <row r="16">
          <cell r="A16" t="str">
            <v>DTT</v>
          </cell>
          <cell r="B16">
            <v>4</v>
          </cell>
        </row>
        <row r="17">
          <cell r="A17" t="str">
            <v>DNL</v>
          </cell>
          <cell r="B17">
            <v>7</v>
          </cell>
        </row>
        <row r="18">
          <cell r="A18" t="str">
            <v>DRA</v>
          </cell>
          <cell r="B18">
            <v>1</v>
          </cell>
        </row>
        <row r="19">
          <cell r="A19" t="str">
            <v>NTD</v>
          </cell>
          <cell r="B19">
            <v>13</v>
          </cell>
        </row>
        <row r="20">
          <cell r="A20" t="str">
            <v>LUA</v>
          </cell>
          <cell r="B20">
            <v>1</v>
          </cell>
        </row>
        <row r="21">
          <cell r="A21" t="str">
            <v>HNK</v>
          </cell>
          <cell r="B21">
            <v>1</v>
          </cell>
        </row>
        <row r="22">
          <cell r="A22" t="str">
            <v>CLN</v>
          </cell>
          <cell r="B22">
            <v>2</v>
          </cell>
        </row>
        <row r="23">
          <cell r="A23" t="str">
            <v>NTS</v>
          </cell>
          <cell r="B23">
            <v>1</v>
          </cell>
        </row>
        <row r="24">
          <cell r="A24" t="str">
            <v>SKK</v>
          </cell>
          <cell r="B24">
            <v>1</v>
          </cell>
        </row>
        <row r="25">
          <cell r="A25" t="str">
            <v>SKN</v>
          </cell>
          <cell r="B25">
            <v>11</v>
          </cell>
        </row>
        <row r="26">
          <cell r="A26" t="str">
            <v>DDT</v>
          </cell>
          <cell r="B26">
            <v>5</v>
          </cell>
        </row>
        <row r="27">
          <cell r="A27" t="str">
            <v>DTS</v>
          </cell>
          <cell r="B27">
            <v>2</v>
          </cell>
        </row>
        <row r="28">
          <cell r="A28" t="str">
            <v>Grand Total</v>
          </cell>
          <cell r="B28">
            <v>131</v>
          </cell>
        </row>
      </sheetData>
      <sheetData sheetId="5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01HT"/>
      <sheetName val="01CH"/>
      <sheetName val="03CH (2)"/>
      <sheetName val="02CH"/>
      <sheetName val="03CH"/>
      <sheetName val="04CH (2)"/>
      <sheetName val="04CH"/>
      <sheetName val="05CH"/>
      <sheetName val="08CH 20"/>
      <sheetName val="10CH"/>
      <sheetName val="Danh muc"/>
      <sheetName val="12CH"/>
      <sheetName val="tong hop dvhc20"/>
      <sheetName val="tong hop loaidat20"/>
      <sheetName val="tong hop thuhoi20"/>
      <sheetName val="tong hop kothuhoi20"/>
      <sheetName val="tong hop lua&lt;10-20"/>
      <sheetName val="data-dvhc-sum"/>
      <sheetName val="data-dvhc-count"/>
      <sheetName val="tong hop loaidat 18-20"/>
      <sheetName val="data-loaidat-sum-1820"/>
      <sheetName val="data-loaidat-count-1820"/>
      <sheetName val="data-loaidat-sum"/>
      <sheetName val="data-loaidat-count"/>
      <sheetName val="data-thuhoi-sum"/>
      <sheetName val="data-thuhoi-count"/>
      <sheetName val="data-kothuhoi-sum"/>
      <sheetName val="data-kothuhoi-count"/>
      <sheetName val="data-lua&lt;10-sum"/>
      <sheetName val="data-lua&lt;10-count"/>
      <sheetName val="11CH"/>
      <sheetName val="Co cau hien trang"/>
      <sheetName val="SS dien tich"/>
      <sheetName val="Tong hop"/>
      <sheetName val="Tonghop danh muc"/>
      <sheetName val="Tai chinh"/>
      <sheetName val="Ket qua thuc hien 11-15"/>
      <sheetName val="SS CMD"/>
      <sheetName val="SS CSD"/>
      <sheetName val="SS Chi tie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Năm thực hiện</v>
          </cell>
          <cell r="B1" t="str">
            <v>(Multiple Items)</v>
          </cell>
        </row>
        <row r="3">
          <cell r="A3" t="str">
            <v>Sum of Diện tích quy hoạch (ha)</v>
          </cell>
          <cell r="B3" t="str">
            <v>Column Labels</v>
          </cell>
        </row>
        <row r="4">
          <cell r="A4" t="str">
            <v>Row Labels</v>
          </cell>
          <cell r="B4" t="str">
            <v>BS</v>
          </cell>
          <cell r="C4" t="str">
            <v>CHUYỂN</v>
          </cell>
          <cell r="D4" t="str">
            <v>GN</v>
          </cell>
          <cell r="E4" t="str">
            <v>Grand Total</v>
          </cell>
        </row>
        <row r="5">
          <cell r="A5" t="str">
            <v>(blank)</v>
          </cell>
          <cell r="B5">
            <v>1207.4938666666667</v>
          </cell>
          <cell r="C5">
            <v>168.33399999999997</v>
          </cell>
          <cell r="D5">
            <v>559.11700000000008</v>
          </cell>
          <cell r="E5">
            <v>1934.9448666666665</v>
          </cell>
        </row>
        <row r="6">
          <cell r="A6" t="str">
            <v>Nhơn An</v>
          </cell>
          <cell r="B6">
            <v>11.754000000000001</v>
          </cell>
          <cell r="C6">
            <v>5.7100000000000009</v>
          </cell>
          <cell r="D6">
            <v>4.1399999999999997</v>
          </cell>
          <cell r="E6">
            <v>21.604000000000003</v>
          </cell>
        </row>
        <row r="7">
          <cell r="A7" t="str">
            <v>Nhơn Hạnh</v>
          </cell>
          <cell r="B7">
            <v>20.110000000000003</v>
          </cell>
          <cell r="C7">
            <v>2.3940000000000001</v>
          </cell>
          <cell r="D7">
            <v>7.87</v>
          </cell>
          <cell r="E7">
            <v>30.374000000000006</v>
          </cell>
        </row>
        <row r="8">
          <cell r="A8" t="str">
            <v>Nhơn Hậu</v>
          </cell>
          <cell r="B8">
            <v>10.884999999999998</v>
          </cell>
          <cell r="C8">
            <v>0.78</v>
          </cell>
          <cell r="D8">
            <v>15.71</v>
          </cell>
          <cell r="E8">
            <v>27.375</v>
          </cell>
        </row>
        <row r="9">
          <cell r="A9" t="str">
            <v>Nhơn Khánh</v>
          </cell>
          <cell r="B9">
            <v>12.280000000000001</v>
          </cell>
          <cell r="C9">
            <v>4.76</v>
          </cell>
          <cell r="D9">
            <v>2.4</v>
          </cell>
          <cell r="E9">
            <v>19.439999999999998</v>
          </cell>
        </row>
        <row r="10">
          <cell r="A10" t="str">
            <v>Nhơn Lộc</v>
          </cell>
          <cell r="B10">
            <v>10.789999999999997</v>
          </cell>
          <cell r="C10">
            <v>12.71</v>
          </cell>
          <cell r="D10">
            <v>7.080000000000001</v>
          </cell>
          <cell r="E10">
            <v>30.580000000000002</v>
          </cell>
        </row>
        <row r="11">
          <cell r="A11" t="str">
            <v>Nhơn Mỹ</v>
          </cell>
          <cell r="B11">
            <v>38.659999999999989</v>
          </cell>
          <cell r="C11">
            <v>3.65</v>
          </cell>
          <cell r="D11">
            <v>117.91999999999999</v>
          </cell>
          <cell r="E11">
            <v>160.22999999999996</v>
          </cell>
        </row>
        <row r="12">
          <cell r="A12" t="str">
            <v>Nhơn Phong</v>
          </cell>
          <cell r="B12">
            <v>10.969999999999999</v>
          </cell>
          <cell r="C12">
            <v>6.14</v>
          </cell>
          <cell r="D12">
            <v>17.139999999999997</v>
          </cell>
          <cell r="E12">
            <v>34.25</v>
          </cell>
        </row>
        <row r="13">
          <cell r="A13" t="str">
            <v>Nhơn Phúc</v>
          </cell>
          <cell r="B13">
            <v>12.809999999999999</v>
          </cell>
          <cell r="C13">
            <v>3.46</v>
          </cell>
          <cell r="D13">
            <v>16.8</v>
          </cell>
          <cell r="E13">
            <v>33.07</v>
          </cell>
        </row>
        <row r="14">
          <cell r="A14" t="str">
            <v>Nhơn Tân</v>
          </cell>
          <cell r="B14">
            <v>373.36999999999989</v>
          </cell>
          <cell r="C14">
            <v>38.299999999999997</v>
          </cell>
          <cell r="D14">
            <v>139.72999999999999</v>
          </cell>
          <cell r="E14">
            <v>551.39999999999986</v>
          </cell>
        </row>
        <row r="15">
          <cell r="A15" t="str">
            <v>Nhơn Thọ</v>
          </cell>
          <cell r="B15">
            <v>25.599999999999998</v>
          </cell>
          <cell r="C15">
            <v>65.019999999999982</v>
          </cell>
          <cell r="D15">
            <v>114.49000000000001</v>
          </cell>
          <cell r="E15">
            <v>205.10999999999999</v>
          </cell>
        </row>
        <row r="16">
          <cell r="A16" t="str">
            <v>P Bình Định</v>
          </cell>
          <cell r="B16">
            <v>144.87820000000002</v>
          </cell>
          <cell r="C16">
            <v>2.8</v>
          </cell>
          <cell r="D16">
            <v>58.797000000000004</v>
          </cell>
          <cell r="E16">
            <v>206.47520000000003</v>
          </cell>
        </row>
        <row r="17">
          <cell r="A17" t="str">
            <v>P Đập Đá</v>
          </cell>
          <cell r="B17">
            <v>20.73</v>
          </cell>
          <cell r="C17">
            <v>10.969999999999999</v>
          </cell>
          <cell r="D17">
            <v>10.899999999999999</v>
          </cell>
          <cell r="E17">
            <v>42.599999999999994</v>
          </cell>
        </row>
        <row r="18">
          <cell r="A18" t="str">
            <v>P Nhơn Hòa</v>
          </cell>
          <cell r="B18">
            <v>427.14026666666672</v>
          </cell>
          <cell r="C18">
            <v>9.42</v>
          </cell>
          <cell r="D18">
            <v>7.8299999999999992</v>
          </cell>
          <cell r="E18">
            <v>444.39026666666672</v>
          </cell>
        </row>
        <row r="19">
          <cell r="A19" t="str">
            <v>P Nhơn Hưng</v>
          </cell>
          <cell r="B19">
            <v>51.776400000000002</v>
          </cell>
          <cell r="C19">
            <v>0.14000000000000001</v>
          </cell>
          <cell r="D19">
            <v>13.45</v>
          </cell>
          <cell r="E19">
            <v>65.366399999999999</v>
          </cell>
        </row>
        <row r="20">
          <cell r="A20" t="str">
            <v>P Nhơn Thành</v>
          </cell>
          <cell r="B20">
            <v>35.74</v>
          </cell>
          <cell r="C20">
            <v>2.08</v>
          </cell>
          <cell r="D20">
            <v>24.860000000000003</v>
          </cell>
          <cell r="E20">
            <v>62.680000000000007</v>
          </cell>
        </row>
        <row r="21">
          <cell r="A21" t="str">
            <v>Grand Total</v>
          </cell>
          <cell r="B21">
            <v>1207.4938666666667</v>
          </cell>
          <cell r="C21">
            <v>168.33399999999997</v>
          </cell>
          <cell r="D21">
            <v>559.11700000000008</v>
          </cell>
          <cell r="E21">
            <v>1934.9448666666665</v>
          </cell>
        </row>
      </sheetData>
      <sheetData sheetId="18">
        <row r="1">
          <cell r="A1" t="str">
            <v>Năm thực hiện</v>
          </cell>
          <cell r="B1" t="str">
            <v>(Multiple Items)</v>
          </cell>
        </row>
        <row r="3">
          <cell r="A3" t="str">
            <v>Count of Diện tích quy hoạch (ha)</v>
          </cell>
          <cell r="B3" t="str">
            <v>Column Labels</v>
          </cell>
        </row>
        <row r="4">
          <cell r="A4" t="str">
            <v>Row Labels</v>
          </cell>
          <cell r="B4" t="str">
            <v>BS</v>
          </cell>
          <cell r="C4" t="str">
            <v>CHUYỂN</v>
          </cell>
          <cell r="D4" t="str">
            <v>GN</v>
          </cell>
          <cell r="E4" t="str">
            <v>Grand Total</v>
          </cell>
        </row>
        <row r="5">
          <cell r="A5" t="str">
            <v>(blank)</v>
          </cell>
          <cell r="B5">
            <v>428</v>
          </cell>
          <cell r="C5">
            <v>98</v>
          </cell>
          <cell r="D5">
            <v>132</v>
          </cell>
          <cell r="E5">
            <v>658</v>
          </cell>
        </row>
        <row r="6">
          <cell r="A6" t="str">
            <v>Nhơn An</v>
          </cell>
          <cell r="B6">
            <v>20</v>
          </cell>
          <cell r="C6">
            <v>9</v>
          </cell>
          <cell r="D6">
            <v>7</v>
          </cell>
          <cell r="E6">
            <v>36</v>
          </cell>
        </row>
        <row r="7">
          <cell r="A7" t="str">
            <v>Nhơn Hạnh</v>
          </cell>
          <cell r="B7">
            <v>21</v>
          </cell>
          <cell r="C7">
            <v>13</v>
          </cell>
          <cell r="D7">
            <v>12</v>
          </cell>
          <cell r="E7">
            <v>46</v>
          </cell>
        </row>
        <row r="8">
          <cell r="A8" t="str">
            <v>Nhơn Hậu</v>
          </cell>
          <cell r="B8">
            <v>24</v>
          </cell>
          <cell r="C8">
            <v>5</v>
          </cell>
          <cell r="D8">
            <v>16</v>
          </cell>
          <cell r="E8">
            <v>45</v>
          </cell>
        </row>
        <row r="9">
          <cell r="A9" t="str">
            <v>Nhơn Khánh</v>
          </cell>
          <cell r="B9">
            <v>16</v>
          </cell>
          <cell r="C9">
            <v>5</v>
          </cell>
          <cell r="D9">
            <v>5</v>
          </cell>
          <cell r="E9">
            <v>26</v>
          </cell>
        </row>
        <row r="10">
          <cell r="A10" t="str">
            <v>Nhơn Lộc</v>
          </cell>
          <cell r="B10">
            <v>23</v>
          </cell>
          <cell r="C10">
            <v>7</v>
          </cell>
          <cell r="D10">
            <v>7</v>
          </cell>
          <cell r="E10">
            <v>37</v>
          </cell>
        </row>
        <row r="11">
          <cell r="A11" t="str">
            <v>Nhơn Mỹ</v>
          </cell>
          <cell r="B11">
            <v>21</v>
          </cell>
          <cell r="C11">
            <v>10</v>
          </cell>
          <cell r="D11">
            <v>15</v>
          </cell>
          <cell r="E11">
            <v>46</v>
          </cell>
        </row>
        <row r="12">
          <cell r="A12" t="str">
            <v>Nhơn Phong</v>
          </cell>
          <cell r="B12">
            <v>30</v>
          </cell>
          <cell r="C12">
            <v>7</v>
          </cell>
          <cell r="D12">
            <v>9</v>
          </cell>
          <cell r="E12">
            <v>46</v>
          </cell>
        </row>
        <row r="13">
          <cell r="A13" t="str">
            <v>Nhơn Phúc</v>
          </cell>
          <cell r="B13">
            <v>23</v>
          </cell>
          <cell r="C13">
            <v>6</v>
          </cell>
          <cell r="D13">
            <v>4</v>
          </cell>
          <cell r="E13">
            <v>33</v>
          </cell>
        </row>
        <row r="14">
          <cell r="A14" t="str">
            <v>Nhơn Tân</v>
          </cell>
          <cell r="B14">
            <v>27</v>
          </cell>
          <cell r="C14">
            <v>7</v>
          </cell>
          <cell r="D14">
            <v>12</v>
          </cell>
          <cell r="E14">
            <v>46</v>
          </cell>
        </row>
        <row r="15">
          <cell r="A15" t="str">
            <v>Nhơn Thọ</v>
          </cell>
          <cell r="B15">
            <v>21</v>
          </cell>
          <cell r="C15">
            <v>9</v>
          </cell>
          <cell r="D15">
            <v>12</v>
          </cell>
          <cell r="E15">
            <v>42</v>
          </cell>
        </row>
        <row r="16">
          <cell r="A16" t="str">
            <v>P Bình Định</v>
          </cell>
          <cell r="B16">
            <v>64</v>
          </cell>
          <cell r="C16">
            <v>2</v>
          </cell>
          <cell r="D16">
            <v>9</v>
          </cell>
          <cell r="E16">
            <v>75</v>
          </cell>
        </row>
        <row r="17">
          <cell r="A17" t="str">
            <v>P Đập Đá</v>
          </cell>
          <cell r="B17">
            <v>23</v>
          </cell>
          <cell r="C17">
            <v>4</v>
          </cell>
          <cell r="D17">
            <v>3</v>
          </cell>
          <cell r="E17">
            <v>30</v>
          </cell>
        </row>
        <row r="18">
          <cell r="A18" t="str">
            <v>P Nhơn Hòa</v>
          </cell>
          <cell r="B18">
            <v>50</v>
          </cell>
          <cell r="C18">
            <v>9</v>
          </cell>
          <cell r="D18">
            <v>5</v>
          </cell>
          <cell r="E18">
            <v>64</v>
          </cell>
        </row>
        <row r="19">
          <cell r="A19" t="str">
            <v>P Nhơn Hưng</v>
          </cell>
          <cell r="B19">
            <v>42</v>
          </cell>
          <cell r="C19">
            <v>1</v>
          </cell>
          <cell r="D19">
            <v>3</v>
          </cell>
          <cell r="E19">
            <v>46</v>
          </cell>
        </row>
        <row r="20">
          <cell r="A20" t="str">
            <v>P Nhơn Thành</v>
          </cell>
          <cell r="B20">
            <v>23</v>
          </cell>
          <cell r="C20">
            <v>4</v>
          </cell>
          <cell r="D20">
            <v>13</v>
          </cell>
          <cell r="E20">
            <v>40</v>
          </cell>
        </row>
        <row r="21">
          <cell r="A21" t="str">
            <v>Grand Total</v>
          </cell>
          <cell r="B21">
            <v>428</v>
          </cell>
          <cell r="C21">
            <v>98</v>
          </cell>
          <cell r="D21">
            <v>132</v>
          </cell>
          <cell r="E21">
            <v>658</v>
          </cell>
        </row>
      </sheetData>
      <sheetData sheetId="19"/>
      <sheetData sheetId="20">
        <row r="1">
          <cell r="A1" t="str">
            <v>Năm thực hiện</v>
          </cell>
          <cell r="B1" t="str">
            <v>(Multiple Items)</v>
          </cell>
        </row>
        <row r="3">
          <cell r="A3" t="str">
            <v>Sum of Diện tích quy hoạch (ha)</v>
          </cell>
          <cell r="B3" t="str">
            <v>Column Labels</v>
          </cell>
        </row>
        <row r="4">
          <cell r="A4" t="str">
            <v>Row Labels</v>
          </cell>
          <cell r="B4" t="str">
            <v>BS</v>
          </cell>
          <cell r="C4" t="str">
            <v>CHUYỂN</v>
          </cell>
          <cell r="D4" t="str">
            <v>GN</v>
          </cell>
          <cell r="E4" t="str">
            <v>Grand Total</v>
          </cell>
        </row>
        <row r="5">
          <cell r="A5" t="str">
            <v>(blank)</v>
          </cell>
          <cell r="B5">
            <v>1107.2542666666666</v>
          </cell>
          <cell r="C5">
            <v>94.3</v>
          </cell>
          <cell r="D5">
            <v>476.15000000000003</v>
          </cell>
          <cell r="E5">
            <v>1677.7042666666666</v>
          </cell>
        </row>
        <row r="6">
          <cell r="A6" t="str">
            <v>CAN</v>
          </cell>
          <cell r="C6">
            <v>0.45</v>
          </cell>
          <cell r="E6">
            <v>0.45</v>
          </cell>
        </row>
        <row r="7">
          <cell r="A7" t="str">
            <v>CQP</v>
          </cell>
          <cell r="D7">
            <v>44.8</v>
          </cell>
          <cell r="E7">
            <v>44.8</v>
          </cell>
        </row>
        <row r="8">
          <cell r="A8" t="str">
            <v>DCH</v>
          </cell>
          <cell r="B8">
            <v>3.68</v>
          </cell>
          <cell r="D8">
            <v>0.55000000000000004</v>
          </cell>
          <cell r="E8">
            <v>4.2300000000000004</v>
          </cell>
        </row>
        <row r="9">
          <cell r="A9" t="str">
            <v>DGD</v>
          </cell>
          <cell r="B9">
            <v>1.02</v>
          </cell>
          <cell r="C9">
            <v>0.42000000000000004</v>
          </cell>
          <cell r="D9">
            <v>0.63</v>
          </cell>
          <cell r="E9">
            <v>2.0699999999999998</v>
          </cell>
        </row>
        <row r="10">
          <cell r="A10" t="str">
            <v>DGT</v>
          </cell>
          <cell r="B10">
            <v>74.470000000000013</v>
          </cell>
          <cell r="C10">
            <v>7.56</v>
          </cell>
          <cell r="D10">
            <v>26.28</v>
          </cell>
          <cell r="E10">
            <v>108.31000000000002</v>
          </cell>
        </row>
        <row r="11">
          <cell r="A11" t="str">
            <v>DKV</v>
          </cell>
          <cell r="B11">
            <v>14.79</v>
          </cell>
          <cell r="C11">
            <v>0.3</v>
          </cell>
          <cell r="D11">
            <v>0.73</v>
          </cell>
          <cell r="E11">
            <v>15.82</v>
          </cell>
        </row>
        <row r="12">
          <cell r="A12" t="str">
            <v>DNL</v>
          </cell>
          <cell r="B12">
            <v>0.56026666666666669</v>
          </cell>
          <cell r="E12">
            <v>0.56026666666666669</v>
          </cell>
        </row>
        <row r="13">
          <cell r="A13" t="str">
            <v>DRA</v>
          </cell>
          <cell r="B13">
            <v>0.21</v>
          </cell>
          <cell r="C13">
            <v>10</v>
          </cell>
          <cell r="E13">
            <v>10.210000000000001</v>
          </cell>
        </row>
        <row r="14">
          <cell r="A14" t="str">
            <v>DSH</v>
          </cell>
          <cell r="B14">
            <v>1.24</v>
          </cell>
          <cell r="C14">
            <v>0.64</v>
          </cell>
          <cell r="D14">
            <v>0.57000000000000006</v>
          </cell>
          <cell r="E14">
            <v>2.4500000000000002</v>
          </cell>
        </row>
        <row r="15">
          <cell r="A15" t="str">
            <v>DTL</v>
          </cell>
          <cell r="B15">
            <v>34.25</v>
          </cell>
          <cell r="E15">
            <v>34.25</v>
          </cell>
        </row>
        <row r="16">
          <cell r="A16" t="str">
            <v>DTT</v>
          </cell>
          <cell r="C16">
            <v>3.94</v>
          </cell>
          <cell r="D16">
            <v>5.6500000000000012</v>
          </cell>
          <cell r="E16">
            <v>9.5900000000000016</v>
          </cell>
        </row>
        <row r="17">
          <cell r="A17" t="str">
            <v>DVH</v>
          </cell>
          <cell r="B17">
            <v>0.41000000000000003</v>
          </cell>
          <cell r="E17">
            <v>0.41000000000000003</v>
          </cell>
        </row>
        <row r="18">
          <cell r="A18" t="str">
            <v>DYT</v>
          </cell>
          <cell r="B18">
            <v>1.1499999999999999</v>
          </cell>
          <cell r="E18">
            <v>1.1499999999999999</v>
          </cell>
        </row>
        <row r="19">
          <cell r="A19" t="str">
            <v>NKH</v>
          </cell>
          <cell r="B19">
            <v>2.46</v>
          </cell>
          <cell r="C19">
            <v>21</v>
          </cell>
          <cell r="D19">
            <v>80.900000000000006</v>
          </cell>
          <cell r="E19">
            <v>104.36000000000001</v>
          </cell>
        </row>
        <row r="20">
          <cell r="A20" t="str">
            <v>NTD</v>
          </cell>
          <cell r="B20">
            <v>20</v>
          </cell>
          <cell r="D20">
            <v>4.9000000000000004</v>
          </cell>
          <cell r="E20">
            <v>24.9</v>
          </cell>
        </row>
        <row r="21">
          <cell r="A21" t="str">
            <v>ODT</v>
          </cell>
          <cell r="B21">
            <v>116.84</v>
          </cell>
          <cell r="C21">
            <v>4.8499999999999996</v>
          </cell>
          <cell r="D21">
            <v>60.45</v>
          </cell>
          <cell r="E21">
            <v>182.14</v>
          </cell>
        </row>
        <row r="22">
          <cell r="A22" t="str">
            <v>ONT</v>
          </cell>
          <cell r="B22">
            <v>30.69</v>
          </cell>
          <cell r="C22">
            <v>13.76</v>
          </cell>
          <cell r="D22">
            <v>24.85</v>
          </cell>
          <cell r="E22">
            <v>69.300000000000011</v>
          </cell>
        </row>
        <row r="23">
          <cell r="A23" t="str">
            <v>RSX</v>
          </cell>
          <cell r="B23">
            <v>757.29</v>
          </cell>
          <cell r="E23">
            <v>757.29</v>
          </cell>
        </row>
        <row r="24">
          <cell r="A24" t="str">
            <v>SKC</v>
          </cell>
          <cell r="B24">
            <v>13.173999999999999</v>
          </cell>
          <cell r="C24">
            <v>0.41000000000000003</v>
          </cell>
          <cell r="D24">
            <v>8.23</v>
          </cell>
          <cell r="E24">
            <v>21.814</v>
          </cell>
        </row>
        <row r="25">
          <cell r="A25" t="str">
            <v>SKK</v>
          </cell>
          <cell r="D25">
            <v>78.259999999999991</v>
          </cell>
          <cell r="E25">
            <v>78.259999999999991</v>
          </cell>
        </row>
        <row r="26">
          <cell r="A26" t="str">
            <v>SKN</v>
          </cell>
          <cell r="B26">
            <v>0.36</v>
          </cell>
          <cell r="C26">
            <v>18</v>
          </cell>
          <cell r="D26">
            <v>87.23</v>
          </cell>
          <cell r="E26">
            <v>105.59</v>
          </cell>
        </row>
        <row r="27">
          <cell r="A27" t="str">
            <v>SKX</v>
          </cell>
          <cell r="B27">
            <v>12.29</v>
          </cell>
          <cell r="C27">
            <v>11</v>
          </cell>
          <cell r="E27">
            <v>23.29</v>
          </cell>
        </row>
        <row r="28">
          <cell r="A28" t="str">
            <v>TMD</v>
          </cell>
          <cell r="B28">
            <v>20.689999999999998</v>
          </cell>
          <cell r="C28">
            <v>1.9700000000000002</v>
          </cell>
          <cell r="D28">
            <v>52.120000000000005</v>
          </cell>
          <cell r="E28">
            <v>74.78</v>
          </cell>
        </row>
        <row r="29">
          <cell r="A29" t="str">
            <v>TON</v>
          </cell>
          <cell r="B29">
            <v>1.5</v>
          </cell>
          <cell r="E29">
            <v>1.5</v>
          </cell>
        </row>
        <row r="30">
          <cell r="A30" t="str">
            <v>TSC</v>
          </cell>
          <cell r="B30">
            <v>0.18</v>
          </cell>
          <cell r="E30">
            <v>0.18</v>
          </cell>
        </row>
        <row r="31">
          <cell r="A31" t="str">
            <v>Grand Total</v>
          </cell>
          <cell r="B31">
            <v>1107.2542666666666</v>
          </cell>
          <cell r="C31">
            <v>94.3</v>
          </cell>
          <cell r="D31">
            <v>476.15000000000003</v>
          </cell>
          <cell r="E31">
            <v>1677.7042666666666</v>
          </cell>
        </row>
      </sheetData>
      <sheetData sheetId="21">
        <row r="1">
          <cell r="A1" t="str">
            <v>Năm thực hiện</v>
          </cell>
          <cell r="B1" t="str">
            <v>(Multiple Items)</v>
          </cell>
        </row>
        <row r="3">
          <cell r="A3" t="str">
            <v>Count of Diện tích quy hoạch (ha)</v>
          </cell>
          <cell r="B3" t="str">
            <v>Column Labels</v>
          </cell>
        </row>
        <row r="4">
          <cell r="A4" t="str">
            <v>Row Labels</v>
          </cell>
          <cell r="B4" t="str">
            <v>BS</v>
          </cell>
          <cell r="C4" t="str">
            <v>CHUYỂN</v>
          </cell>
          <cell r="D4" t="str">
            <v>GN</v>
          </cell>
          <cell r="E4" t="str">
            <v>Grand Total</v>
          </cell>
        </row>
        <row r="5">
          <cell r="A5" t="str">
            <v>(blank)</v>
          </cell>
          <cell r="B5">
            <v>264</v>
          </cell>
          <cell r="C5">
            <v>49</v>
          </cell>
          <cell r="D5">
            <v>85</v>
          </cell>
          <cell r="E5">
            <v>398</v>
          </cell>
        </row>
        <row r="6">
          <cell r="A6" t="str">
            <v>CAN</v>
          </cell>
          <cell r="C6">
            <v>3</v>
          </cell>
          <cell r="E6">
            <v>3</v>
          </cell>
        </row>
        <row r="7">
          <cell r="A7" t="str">
            <v>CQP</v>
          </cell>
          <cell r="D7">
            <v>1</v>
          </cell>
          <cell r="E7">
            <v>1</v>
          </cell>
        </row>
        <row r="8">
          <cell r="A8" t="str">
            <v>DCH</v>
          </cell>
          <cell r="B8">
            <v>1</v>
          </cell>
          <cell r="D8">
            <v>2</v>
          </cell>
          <cell r="E8">
            <v>3</v>
          </cell>
        </row>
        <row r="9">
          <cell r="A9" t="str">
            <v>DGD</v>
          </cell>
          <cell r="B9">
            <v>10</v>
          </cell>
          <cell r="C9">
            <v>3</v>
          </cell>
          <cell r="D9">
            <v>1</v>
          </cell>
          <cell r="E9">
            <v>14</v>
          </cell>
        </row>
        <row r="10">
          <cell r="A10" t="str">
            <v>DGT</v>
          </cell>
          <cell r="B10">
            <v>38</v>
          </cell>
          <cell r="C10">
            <v>7</v>
          </cell>
          <cell r="D10">
            <v>18</v>
          </cell>
          <cell r="E10">
            <v>63</v>
          </cell>
        </row>
        <row r="11">
          <cell r="A11" t="str">
            <v>DKV</v>
          </cell>
          <cell r="B11">
            <v>7</v>
          </cell>
          <cell r="C11">
            <v>1</v>
          </cell>
          <cell r="D11">
            <v>1</v>
          </cell>
          <cell r="E11">
            <v>9</v>
          </cell>
        </row>
        <row r="12">
          <cell r="A12" t="str">
            <v>DNL</v>
          </cell>
          <cell r="B12">
            <v>5</v>
          </cell>
          <cell r="E12">
            <v>5</v>
          </cell>
        </row>
        <row r="13">
          <cell r="A13" t="str">
            <v>DRA</v>
          </cell>
          <cell r="B13">
            <v>2</v>
          </cell>
          <cell r="C13">
            <v>1</v>
          </cell>
          <cell r="E13">
            <v>3</v>
          </cell>
        </row>
        <row r="14">
          <cell r="A14" t="str">
            <v>DSH</v>
          </cell>
          <cell r="B14">
            <v>9</v>
          </cell>
          <cell r="C14">
            <v>7</v>
          </cell>
          <cell r="D14">
            <v>5</v>
          </cell>
          <cell r="E14">
            <v>21</v>
          </cell>
        </row>
        <row r="15">
          <cell r="A15" t="str">
            <v>DTL</v>
          </cell>
          <cell r="B15">
            <v>40</v>
          </cell>
          <cell r="E15">
            <v>40</v>
          </cell>
        </row>
        <row r="16">
          <cell r="A16" t="str">
            <v>DTT</v>
          </cell>
          <cell r="C16">
            <v>11</v>
          </cell>
          <cell r="D16">
            <v>10</v>
          </cell>
          <cell r="E16">
            <v>21</v>
          </cell>
        </row>
        <row r="17">
          <cell r="A17" t="str">
            <v>DVH</v>
          </cell>
          <cell r="B17">
            <v>2</v>
          </cell>
          <cell r="E17">
            <v>2</v>
          </cell>
        </row>
        <row r="18">
          <cell r="A18" t="str">
            <v>DYT</v>
          </cell>
          <cell r="B18">
            <v>2</v>
          </cell>
          <cell r="E18">
            <v>2</v>
          </cell>
        </row>
        <row r="19">
          <cell r="A19" t="str">
            <v>NKH</v>
          </cell>
          <cell r="B19">
            <v>3</v>
          </cell>
          <cell r="C19">
            <v>1</v>
          </cell>
          <cell r="D19">
            <v>7</v>
          </cell>
          <cell r="E19">
            <v>11</v>
          </cell>
        </row>
        <row r="20">
          <cell r="A20" t="str">
            <v>NTD</v>
          </cell>
          <cell r="B20">
            <v>1</v>
          </cell>
          <cell r="D20">
            <v>1</v>
          </cell>
          <cell r="E20">
            <v>2</v>
          </cell>
        </row>
        <row r="21">
          <cell r="A21" t="str">
            <v>ODT</v>
          </cell>
          <cell r="B21">
            <v>52</v>
          </cell>
          <cell r="C21">
            <v>4</v>
          </cell>
          <cell r="D21">
            <v>10</v>
          </cell>
          <cell r="E21">
            <v>66</v>
          </cell>
        </row>
        <row r="22">
          <cell r="A22" t="str">
            <v>ONT</v>
          </cell>
          <cell r="B22">
            <v>45</v>
          </cell>
          <cell r="C22">
            <v>5</v>
          </cell>
          <cell r="D22">
            <v>13</v>
          </cell>
          <cell r="E22">
            <v>63</v>
          </cell>
        </row>
        <row r="23">
          <cell r="A23" t="str">
            <v>RSX</v>
          </cell>
          <cell r="B23">
            <v>6</v>
          </cell>
          <cell r="E23">
            <v>6</v>
          </cell>
        </row>
        <row r="24">
          <cell r="A24" t="str">
            <v>SKC</v>
          </cell>
          <cell r="B24">
            <v>17</v>
          </cell>
          <cell r="C24">
            <v>2</v>
          </cell>
          <cell r="D24">
            <v>5</v>
          </cell>
          <cell r="E24">
            <v>24</v>
          </cell>
        </row>
        <row r="25">
          <cell r="A25" t="str">
            <v>SKK</v>
          </cell>
          <cell r="D25">
            <v>2</v>
          </cell>
          <cell r="E25">
            <v>2</v>
          </cell>
        </row>
        <row r="26">
          <cell r="A26" t="str">
            <v>SKN</v>
          </cell>
          <cell r="B26">
            <v>2</v>
          </cell>
          <cell r="C26">
            <v>1</v>
          </cell>
          <cell r="D26">
            <v>6</v>
          </cell>
          <cell r="E26">
            <v>9</v>
          </cell>
        </row>
        <row r="27">
          <cell r="A27" t="str">
            <v>SKX</v>
          </cell>
          <cell r="B27">
            <v>4</v>
          </cell>
          <cell r="C27">
            <v>1</v>
          </cell>
          <cell r="E27">
            <v>5</v>
          </cell>
        </row>
        <row r="28">
          <cell r="A28" t="str">
            <v>TMD</v>
          </cell>
          <cell r="B28">
            <v>16</v>
          </cell>
          <cell r="C28">
            <v>2</v>
          </cell>
          <cell r="D28">
            <v>3</v>
          </cell>
          <cell r="E28">
            <v>21</v>
          </cell>
        </row>
        <row r="29">
          <cell r="A29" t="str">
            <v>TON</v>
          </cell>
          <cell r="B29">
            <v>1</v>
          </cell>
          <cell r="E29">
            <v>1</v>
          </cell>
        </row>
        <row r="30">
          <cell r="A30" t="str">
            <v>TSC</v>
          </cell>
          <cell r="B30">
            <v>1</v>
          </cell>
          <cell r="E30">
            <v>1</v>
          </cell>
        </row>
        <row r="31">
          <cell r="A31" t="str">
            <v>Grand Total</v>
          </cell>
          <cell r="B31">
            <v>264</v>
          </cell>
          <cell r="C31">
            <v>49</v>
          </cell>
          <cell r="D31">
            <v>85</v>
          </cell>
          <cell r="E31">
            <v>398</v>
          </cell>
        </row>
      </sheetData>
      <sheetData sheetId="22">
        <row r="3">
          <cell r="A3" t="str">
            <v>Sum of Diện tích quy hoạch (ha)</v>
          </cell>
          <cell r="B3" t="str">
            <v>Column Labels</v>
          </cell>
        </row>
        <row r="4">
          <cell r="A4" t="str">
            <v>Row Labels</v>
          </cell>
          <cell r="B4" t="str">
            <v>BS</v>
          </cell>
          <cell r="C4" t="str">
            <v>CHUYỂN</v>
          </cell>
          <cell r="D4" t="str">
            <v>GN</v>
          </cell>
          <cell r="E4" t="str">
            <v>Grand Total</v>
          </cell>
        </row>
        <row r="5">
          <cell r="A5" t="str">
            <v>(blank)</v>
          </cell>
          <cell r="B5">
            <v>1207.4938666666667</v>
          </cell>
          <cell r="C5">
            <v>168.334</v>
          </cell>
          <cell r="D5">
            <v>559.11700000000008</v>
          </cell>
          <cell r="E5">
            <v>1934.9448666666667</v>
          </cell>
        </row>
        <row r="6">
          <cell r="A6" t="str">
            <v>CAN</v>
          </cell>
          <cell r="C6">
            <v>0.45</v>
          </cell>
          <cell r="E6">
            <v>0.45</v>
          </cell>
        </row>
        <row r="7">
          <cell r="A7" t="str">
            <v>CQP</v>
          </cell>
          <cell r="D7">
            <v>44.8</v>
          </cell>
          <cell r="E7">
            <v>44.8</v>
          </cell>
        </row>
        <row r="8">
          <cell r="A8" t="str">
            <v>DCH</v>
          </cell>
          <cell r="B8">
            <v>3.68</v>
          </cell>
          <cell r="D8">
            <v>0.55000000000000004</v>
          </cell>
          <cell r="E8">
            <v>4.2300000000000004</v>
          </cell>
        </row>
        <row r="9">
          <cell r="A9" t="str">
            <v>DDT</v>
          </cell>
          <cell r="B9">
            <v>0.27</v>
          </cell>
          <cell r="E9">
            <v>0.27</v>
          </cell>
        </row>
        <row r="10">
          <cell r="A10" t="str">
            <v>DGD</v>
          </cell>
          <cell r="B10">
            <v>5.3250000000000002</v>
          </cell>
          <cell r="C10">
            <v>2.0999999999999996</v>
          </cell>
          <cell r="D10">
            <v>1.5699999999999998</v>
          </cell>
          <cell r="E10">
            <v>8.9949999999999992</v>
          </cell>
        </row>
        <row r="11">
          <cell r="A11" t="str">
            <v>DGT</v>
          </cell>
          <cell r="B11">
            <v>82.27</v>
          </cell>
          <cell r="C11">
            <v>11.79</v>
          </cell>
          <cell r="D11">
            <v>44.315000000000012</v>
          </cell>
          <cell r="E11">
            <v>138.375</v>
          </cell>
        </row>
        <row r="12">
          <cell r="A12" t="str">
            <v>DKV</v>
          </cell>
          <cell r="B12">
            <v>17.519999999999996</v>
          </cell>
          <cell r="C12">
            <v>0.3</v>
          </cell>
          <cell r="D12">
            <v>1.1099999999999999</v>
          </cell>
          <cell r="E12">
            <v>18.929999999999996</v>
          </cell>
        </row>
        <row r="13">
          <cell r="A13" t="str">
            <v>DNL</v>
          </cell>
          <cell r="B13">
            <v>1.4702666666666668</v>
          </cell>
          <cell r="E13">
            <v>1.4702666666666668</v>
          </cell>
        </row>
        <row r="14">
          <cell r="A14" t="str">
            <v>DRA</v>
          </cell>
          <cell r="B14">
            <v>0.21</v>
          </cell>
          <cell r="C14">
            <v>11</v>
          </cell>
          <cell r="E14">
            <v>11.21</v>
          </cell>
        </row>
        <row r="15">
          <cell r="A15" t="str">
            <v>DSH</v>
          </cell>
          <cell r="B15">
            <v>2.7116000000000002</v>
          </cell>
          <cell r="C15">
            <v>2.7039999999999993</v>
          </cell>
          <cell r="D15">
            <v>0.94000000000000017</v>
          </cell>
          <cell r="E15">
            <v>6.3555999999999999</v>
          </cell>
        </row>
        <row r="16">
          <cell r="A16" t="str">
            <v>DTL</v>
          </cell>
          <cell r="B16">
            <v>45.660000000000011</v>
          </cell>
          <cell r="E16">
            <v>45.660000000000011</v>
          </cell>
        </row>
        <row r="17">
          <cell r="A17" t="str">
            <v>DTS</v>
          </cell>
          <cell r="B17">
            <v>0.85600000000000009</v>
          </cell>
          <cell r="E17">
            <v>0.85600000000000009</v>
          </cell>
        </row>
        <row r="18">
          <cell r="A18" t="str">
            <v>DTT</v>
          </cell>
          <cell r="B18">
            <v>1.1199999999999999</v>
          </cell>
          <cell r="C18">
            <v>4.79</v>
          </cell>
          <cell r="D18">
            <v>6.84</v>
          </cell>
          <cell r="E18">
            <v>12.75</v>
          </cell>
        </row>
        <row r="19">
          <cell r="A19" t="str">
            <v>DVH</v>
          </cell>
          <cell r="B19">
            <v>0.41000000000000003</v>
          </cell>
          <cell r="E19">
            <v>0.41000000000000003</v>
          </cell>
        </row>
        <row r="20">
          <cell r="A20" t="str">
            <v>DYT</v>
          </cell>
          <cell r="B20">
            <v>1.46</v>
          </cell>
          <cell r="E20">
            <v>1.46</v>
          </cell>
        </row>
        <row r="21">
          <cell r="A21" t="str">
            <v>NKH</v>
          </cell>
          <cell r="B21">
            <v>2.7600000000000002</v>
          </cell>
          <cell r="C21">
            <v>21</v>
          </cell>
          <cell r="D21">
            <v>104.68</v>
          </cell>
          <cell r="E21">
            <v>128.44</v>
          </cell>
        </row>
        <row r="22">
          <cell r="A22" t="str">
            <v>NTD</v>
          </cell>
          <cell r="B22">
            <v>38.75</v>
          </cell>
          <cell r="C22">
            <v>2</v>
          </cell>
          <cell r="D22">
            <v>4.9000000000000004</v>
          </cell>
          <cell r="E22">
            <v>45.65</v>
          </cell>
        </row>
        <row r="23">
          <cell r="A23" t="str">
            <v>NTS</v>
          </cell>
          <cell r="B23">
            <v>0.11</v>
          </cell>
          <cell r="E23">
            <v>0.11</v>
          </cell>
        </row>
        <row r="24">
          <cell r="A24" t="str">
            <v>ODT</v>
          </cell>
          <cell r="B24">
            <v>133.86700000000002</v>
          </cell>
          <cell r="C24">
            <v>14.719999999999999</v>
          </cell>
          <cell r="D24">
            <v>76.311999999999998</v>
          </cell>
          <cell r="E24">
            <v>224.899</v>
          </cell>
        </row>
        <row r="25">
          <cell r="A25" t="str">
            <v>ONT</v>
          </cell>
          <cell r="B25">
            <v>52.339999999999989</v>
          </cell>
          <cell r="C25">
            <v>28.2</v>
          </cell>
          <cell r="D25">
            <v>31.929999999999996</v>
          </cell>
          <cell r="E25">
            <v>112.46999999999998</v>
          </cell>
        </row>
        <row r="26">
          <cell r="A26" t="str">
            <v>RSX</v>
          </cell>
          <cell r="B26">
            <v>757.29</v>
          </cell>
          <cell r="E26">
            <v>757.29</v>
          </cell>
        </row>
        <row r="27">
          <cell r="A27" t="str">
            <v>SKC</v>
          </cell>
          <cell r="B27">
            <v>17.453999999999997</v>
          </cell>
          <cell r="C27">
            <v>0.41000000000000003</v>
          </cell>
          <cell r="D27">
            <v>19.990000000000002</v>
          </cell>
          <cell r="E27">
            <v>37.853999999999999</v>
          </cell>
        </row>
        <row r="28">
          <cell r="A28" t="str">
            <v>SKK</v>
          </cell>
          <cell r="D28">
            <v>78.259999999999991</v>
          </cell>
          <cell r="E28">
            <v>78.259999999999991</v>
          </cell>
        </row>
        <row r="29">
          <cell r="A29" t="str">
            <v>SKN</v>
          </cell>
          <cell r="B29">
            <v>0.36</v>
          </cell>
          <cell r="C29">
            <v>48.900000000000006</v>
          </cell>
          <cell r="D29">
            <v>87.23</v>
          </cell>
          <cell r="E29">
            <v>136.49</v>
          </cell>
        </row>
        <row r="30">
          <cell r="A30" t="str">
            <v>SKX</v>
          </cell>
          <cell r="B30">
            <v>12.29</v>
          </cell>
          <cell r="C30">
            <v>18</v>
          </cell>
          <cell r="D30">
            <v>3</v>
          </cell>
          <cell r="E30">
            <v>33.29</v>
          </cell>
        </row>
        <row r="31">
          <cell r="A31" t="str">
            <v>TMD</v>
          </cell>
          <cell r="B31">
            <v>27.63</v>
          </cell>
          <cell r="C31">
            <v>1.9700000000000002</v>
          </cell>
          <cell r="D31">
            <v>52.690000000000005</v>
          </cell>
          <cell r="E31">
            <v>82.29</v>
          </cell>
        </row>
        <row r="32">
          <cell r="A32" t="str">
            <v>TON</v>
          </cell>
          <cell r="B32">
            <v>1.5</v>
          </cell>
          <cell r="E32">
            <v>1.5</v>
          </cell>
        </row>
        <row r="33">
          <cell r="A33" t="str">
            <v>TSC</v>
          </cell>
          <cell r="B33">
            <v>0.18</v>
          </cell>
          <cell r="E33">
            <v>0.18</v>
          </cell>
        </row>
        <row r="34">
          <cell r="A34" t="str">
            <v>Grand Total</v>
          </cell>
          <cell r="B34">
            <v>1207.4938666666667</v>
          </cell>
          <cell r="C34">
            <v>168.334</v>
          </cell>
          <cell r="D34">
            <v>559.11700000000008</v>
          </cell>
          <cell r="E34">
            <v>1934.9448666666667</v>
          </cell>
        </row>
      </sheetData>
      <sheetData sheetId="23">
        <row r="1">
          <cell r="A1" t="str">
            <v>Năm thực hiện</v>
          </cell>
          <cell r="B1" t="str">
            <v>(Multiple Items)</v>
          </cell>
        </row>
        <row r="3">
          <cell r="A3" t="str">
            <v>Count of Diện tích quy hoạch (ha)</v>
          </cell>
          <cell r="B3" t="str">
            <v>Column Labels</v>
          </cell>
        </row>
        <row r="4">
          <cell r="A4" t="str">
            <v>Row Labels</v>
          </cell>
          <cell r="B4" t="str">
            <v>BS</v>
          </cell>
          <cell r="C4" t="str">
            <v>CHUYỂN</v>
          </cell>
          <cell r="D4" t="str">
            <v>GN</v>
          </cell>
          <cell r="E4" t="str">
            <v>Grand Total</v>
          </cell>
        </row>
        <row r="5">
          <cell r="A5" t="str">
            <v>(blank)</v>
          </cell>
          <cell r="B5">
            <v>428</v>
          </cell>
          <cell r="C5">
            <v>98</v>
          </cell>
          <cell r="D5">
            <v>132</v>
          </cell>
          <cell r="E5">
            <v>658</v>
          </cell>
        </row>
        <row r="6">
          <cell r="A6" t="str">
            <v>CAN</v>
          </cell>
          <cell r="C6">
            <v>3</v>
          </cell>
          <cell r="E6">
            <v>3</v>
          </cell>
        </row>
        <row r="7">
          <cell r="A7" t="str">
            <v>CQP</v>
          </cell>
          <cell r="D7">
            <v>1</v>
          </cell>
          <cell r="E7">
            <v>1</v>
          </cell>
        </row>
        <row r="8">
          <cell r="A8" t="str">
            <v>DCH</v>
          </cell>
          <cell r="B8">
            <v>1</v>
          </cell>
          <cell r="D8">
            <v>2</v>
          </cell>
          <cell r="E8">
            <v>3</v>
          </cell>
        </row>
        <row r="9">
          <cell r="A9" t="str">
            <v>DDT</v>
          </cell>
          <cell r="B9">
            <v>1</v>
          </cell>
          <cell r="E9">
            <v>1</v>
          </cell>
        </row>
        <row r="10">
          <cell r="A10" t="str">
            <v>DGD</v>
          </cell>
          <cell r="B10">
            <v>24</v>
          </cell>
          <cell r="C10">
            <v>10</v>
          </cell>
          <cell r="D10">
            <v>4</v>
          </cell>
          <cell r="E10">
            <v>38</v>
          </cell>
        </row>
        <row r="11">
          <cell r="A11" t="str">
            <v>DGT</v>
          </cell>
          <cell r="B11">
            <v>47</v>
          </cell>
          <cell r="C11">
            <v>8</v>
          </cell>
          <cell r="D11">
            <v>41</v>
          </cell>
          <cell r="E11">
            <v>96</v>
          </cell>
        </row>
        <row r="12">
          <cell r="A12" t="str">
            <v>DKV</v>
          </cell>
          <cell r="B12">
            <v>11</v>
          </cell>
          <cell r="C12">
            <v>1</v>
          </cell>
          <cell r="D12">
            <v>2</v>
          </cell>
          <cell r="E12">
            <v>14</v>
          </cell>
        </row>
        <row r="13">
          <cell r="A13" t="str">
            <v>DNL</v>
          </cell>
          <cell r="B13">
            <v>20</v>
          </cell>
          <cell r="E13">
            <v>20</v>
          </cell>
        </row>
        <row r="14">
          <cell r="A14" t="str">
            <v>DRA</v>
          </cell>
          <cell r="B14">
            <v>2</v>
          </cell>
          <cell r="C14">
            <v>2</v>
          </cell>
          <cell r="E14">
            <v>4</v>
          </cell>
        </row>
        <row r="15">
          <cell r="A15" t="str">
            <v>DSH</v>
          </cell>
          <cell r="B15">
            <v>19</v>
          </cell>
          <cell r="C15">
            <v>17</v>
          </cell>
          <cell r="D15">
            <v>8</v>
          </cell>
          <cell r="E15">
            <v>44</v>
          </cell>
        </row>
        <row r="16">
          <cell r="A16" t="str">
            <v>DTL</v>
          </cell>
          <cell r="B16">
            <v>55</v>
          </cell>
          <cell r="E16">
            <v>55</v>
          </cell>
        </row>
        <row r="17">
          <cell r="A17" t="str">
            <v>DTS</v>
          </cell>
          <cell r="B17">
            <v>1</v>
          </cell>
          <cell r="E17">
            <v>1</v>
          </cell>
        </row>
        <row r="18">
          <cell r="A18" t="str">
            <v>DTT</v>
          </cell>
          <cell r="B18">
            <v>6</v>
          </cell>
          <cell r="C18">
            <v>16</v>
          </cell>
          <cell r="D18">
            <v>14</v>
          </cell>
          <cell r="E18">
            <v>36</v>
          </cell>
        </row>
        <row r="19">
          <cell r="A19" t="str">
            <v>DVH</v>
          </cell>
          <cell r="B19">
            <v>2</v>
          </cell>
          <cell r="E19">
            <v>2</v>
          </cell>
        </row>
        <row r="20">
          <cell r="A20" t="str">
            <v>DYT</v>
          </cell>
          <cell r="B20">
            <v>3</v>
          </cell>
          <cell r="E20">
            <v>3</v>
          </cell>
        </row>
        <row r="21">
          <cell r="A21" t="str">
            <v>NKH</v>
          </cell>
          <cell r="B21">
            <v>4</v>
          </cell>
          <cell r="C21">
            <v>1</v>
          </cell>
          <cell r="D21">
            <v>9</v>
          </cell>
          <cell r="E21">
            <v>14</v>
          </cell>
        </row>
        <row r="22">
          <cell r="A22" t="str">
            <v>NTD</v>
          </cell>
          <cell r="B22">
            <v>2</v>
          </cell>
          <cell r="C22">
            <v>1</v>
          </cell>
          <cell r="D22">
            <v>1</v>
          </cell>
          <cell r="E22">
            <v>4</v>
          </cell>
        </row>
        <row r="23">
          <cell r="A23" t="str">
            <v>NTS</v>
          </cell>
          <cell r="B23">
            <v>1</v>
          </cell>
          <cell r="E23">
            <v>1</v>
          </cell>
        </row>
        <row r="24">
          <cell r="A24" t="str">
            <v>ODT</v>
          </cell>
          <cell r="B24">
            <v>84</v>
          </cell>
          <cell r="C24">
            <v>8</v>
          </cell>
          <cell r="D24">
            <v>13</v>
          </cell>
          <cell r="E24">
            <v>105</v>
          </cell>
        </row>
        <row r="25">
          <cell r="A25" t="str">
            <v>ONT</v>
          </cell>
          <cell r="B25">
            <v>84</v>
          </cell>
          <cell r="C25">
            <v>21</v>
          </cell>
          <cell r="D25">
            <v>16</v>
          </cell>
          <cell r="E25">
            <v>121</v>
          </cell>
        </row>
        <row r="26">
          <cell r="A26" t="str">
            <v>RSX</v>
          </cell>
          <cell r="B26">
            <v>6</v>
          </cell>
          <cell r="E26">
            <v>6</v>
          </cell>
        </row>
        <row r="27">
          <cell r="A27" t="str">
            <v>SKC</v>
          </cell>
          <cell r="B27">
            <v>25</v>
          </cell>
          <cell r="C27">
            <v>2</v>
          </cell>
          <cell r="D27">
            <v>7</v>
          </cell>
          <cell r="E27">
            <v>34</v>
          </cell>
        </row>
        <row r="28">
          <cell r="A28" t="str">
            <v>SKK</v>
          </cell>
          <cell r="D28">
            <v>2</v>
          </cell>
          <cell r="E28">
            <v>2</v>
          </cell>
        </row>
        <row r="29">
          <cell r="A29" t="str">
            <v>SKN</v>
          </cell>
          <cell r="B29">
            <v>2</v>
          </cell>
          <cell r="C29">
            <v>3</v>
          </cell>
          <cell r="D29">
            <v>6</v>
          </cell>
          <cell r="E29">
            <v>11</v>
          </cell>
        </row>
        <row r="30">
          <cell r="A30" t="str">
            <v>SKX</v>
          </cell>
          <cell r="B30">
            <v>4</v>
          </cell>
          <cell r="C30">
            <v>3</v>
          </cell>
          <cell r="D30">
            <v>1</v>
          </cell>
          <cell r="E30">
            <v>8</v>
          </cell>
        </row>
        <row r="31">
          <cell r="A31" t="str">
            <v>TMD</v>
          </cell>
          <cell r="B31">
            <v>22</v>
          </cell>
          <cell r="C31">
            <v>2</v>
          </cell>
          <cell r="D31">
            <v>5</v>
          </cell>
          <cell r="E31">
            <v>29</v>
          </cell>
        </row>
        <row r="32">
          <cell r="A32" t="str">
            <v>TON</v>
          </cell>
          <cell r="B32">
            <v>1</v>
          </cell>
          <cell r="E32">
            <v>1</v>
          </cell>
        </row>
        <row r="33">
          <cell r="A33" t="str">
            <v>TSC</v>
          </cell>
          <cell r="B33">
            <v>1</v>
          </cell>
          <cell r="E33">
            <v>1</v>
          </cell>
        </row>
        <row r="34">
          <cell r="A34" t="str">
            <v>Grand Total</v>
          </cell>
          <cell r="B34">
            <v>428</v>
          </cell>
          <cell r="C34">
            <v>98</v>
          </cell>
          <cell r="D34">
            <v>132</v>
          </cell>
          <cell r="E34">
            <v>658</v>
          </cell>
        </row>
      </sheetData>
      <sheetData sheetId="24">
        <row r="1">
          <cell r="A1" t="str">
            <v>Năm thực hiện</v>
          </cell>
          <cell r="B1" t="str">
            <v>(Multiple Items)</v>
          </cell>
        </row>
        <row r="2">
          <cell r="A2" t="str">
            <v>Mã qh</v>
          </cell>
          <cell r="B2" t="str">
            <v>(Multiple Items)</v>
          </cell>
        </row>
        <row r="4">
          <cell r="A4" t="str">
            <v>Sum of Diện tích quy hoạch (ha)</v>
          </cell>
          <cell r="B4" t="str">
            <v>Column Labels</v>
          </cell>
        </row>
        <row r="5">
          <cell r="A5" t="str">
            <v>Row Labels</v>
          </cell>
          <cell r="B5" t="str">
            <v>BS</v>
          </cell>
          <cell r="C5" t="str">
            <v>CHUYỂN</v>
          </cell>
          <cell r="D5" t="str">
            <v>GN</v>
          </cell>
          <cell r="E5" t="str">
            <v>Grand Total</v>
          </cell>
        </row>
        <row r="6">
          <cell r="A6" t="str">
            <v>(blank)</v>
          </cell>
          <cell r="B6">
            <v>389.9598666666667</v>
          </cell>
          <cell r="C6">
            <v>126.95399999999999</v>
          </cell>
          <cell r="D6">
            <v>378.75699999999995</v>
          </cell>
          <cell r="E6">
            <v>895.6708666666666</v>
          </cell>
        </row>
        <row r="7">
          <cell r="A7" t="str">
            <v>Nhơn An</v>
          </cell>
          <cell r="B7">
            <v>10.71</v>
          </cell>
          <cell r="C7">
            <v>5.7100000000000009</v>
          </cell>
          <cell r="D7">
            <v>4.0999999999999996</v>
          </cell>
          <cell r="E7">
            <v>20.520000000000003</v>
          </cell>
        </row>
        <row r="8">
          <cell r="A8" t="str">
            <v>Nhơn Hạnh</v>
          </cell>
          <cell r="B8">
            <v>20.010000000000002</v>
          </cell>
          <cell r="C8">
            <v>2.3940000000000001</v>
          </cell>
          <cell r="D8">
            <v>7.870000000000001</v>
          </cell>
          <cell r="E8">
            <v>30.274000000000004</v>
          </cell>
        </row>
        <row r="9">
          <cell r="A9" t="str">
            <v>Nhơn Hậu</v>
          </cell>
          <cell r="B9">
            <v>7.8750000000000009</v>
          </cell>
          <cell r="C9">
            <v>0.78</v>
          </cell>
          <cell r="D9">
            <v>11.89</v>
          </cell>
          <cell r="E9">
            <v>20.545000000000002</v>
          </cell>
        </row>
        <row r="10">
          <cell r="A10" t="str">
            <v>Nhơn Khánh</v>
          </cell>
          <cell r="B10">
            <v>9.0800000000000018</v>
          </cell>
          <cell r="C10">
            <v>4.76</v>
          </cell>
          <cell r="D10">
            <v>0.66999999999999993</v>
          </cell>
          <cell r="E10">
            <v>14.510000000000002</v>
          </cell>
        </row>
        <row r="11">
          <cell r="A11" t="str">
            <v>Nhơn Lộc</v>
          </cell>
          <cell r="B11">
            <v>10.269999999999998</v>
          </cell>
          <cell r="C11">
            <v>1.3</v>
          </cell>
          <cell r="D11">
            <v>5.51</v>
          </cell>
          <cell r="E11">
            <v>17.079999999999998</v>
          </cell>
        </row>
        <row r="12">
          <cell r="A12" t="str">
            <v>Nhơn Mỹ</v>
          </cell>
          <cell r="B12">
            <v>29.960000000000008</v>
          </cell>
          <cell r="C12">
            <v>3.65</v>
          </cell>
          <cell r="D12">
            <v>74.27000000000001</v>
          </cell>
          <cell r="E12">
            <v>107.88000000000002</v>
          </cell>
        </row>
        <row r="13">
          <cell r="A13" t="str">
            <v>Nhơn Phong</v>
          </cell>
          <cell r="B13">
            <v>10.969999999999999</v>
          </cell>
          <cell r="C13">
            <v>6.14</v>
          </cell>
          <cell r="D13">
            <v>17.139999999999997</v>
          </cell>
          <cell r="E13">
            <v>34.25</v>
          </cell>
        </row>
        <row r="14">
          <cell r="A14" t="str">
            <v>Nhơn Phúc</v>
          </cell>
          <cell r="B14">
            <v>12.36</v>
          </cell>
          <cell r="C14">
            <v>3.11</v>
          </cell>
          <cell r="D14">
            <v>16.8</v>
          </cell>
          <cell r="E14">
            <v>32.269999999999996</v>
          </cell>
        </row>
        <row r="15">
          <cell r="A15" t="str">
            <v>Nhơn Tân</v>
          </cell>
          <cell r="B15">
            <v>30.740000000000002</v>
          </cell>
          <cell r="C15">
            <v>31.299999999999997</v>
          </cell>
          <cell r="D15">
            <v>50.85</v>
          </cell>
          <cell r="E15">
            <v>112.89</v>
          </cell>
        </row>
        <row r="16">
          <cell r="A16" t="str">
            <v>Nhơn Thọ</v>
          </cell>
          <cell r="B16">
            <v>13.58</v>
          </cell>
          <cell r="C16">
            <v>42.4</v>
          </cell>
          <cell r="D16">
            <v>83.97</v>
          </cell>
          <cell r="E16">
            <v>139.94999999999999</v>
          </cell>
        </row>
        <row r="17">
          <cell r="A17" t="str">
            <v>P Bình Định</v>
          </cell>
          <cell r="B17">
            <v>124.9282</v>
          </cell>
          <cell r="C17">
            <v>2.8</v>
          </cell>
          <cell r="D17">
            <v>58.277000000000008</v>
          </cell>
          <cell r="E17">
            <v>186.0052</v>
          </cell>
        </row>
        <row r="18">
          <cell r="A18" t="str">
            <v>P Đập Đá</v>
          </cell>
          <cell r="B18">
            <v>19.690000000000001</v>
          </cell>
          <cell r="C18">
            <v>10.969999999999999</v>
          </cell>
          <cell r="D18">
            <v>10.899999999999999</v>
          </cell>
          <cell r="E18">
            <v>41.56</v>
          </cell>
        </row>
        <row r="19">
          <cell r="A19" t="str">
            <v>P Nhơn Hòa</v>
          </cell>
          <cell r="B19">
            <v>30.17026666666667</v>
          </cell>
          <cell r="C19">
            <v>9.42</v>
          </cell>
          <cell r="D19">
            <v>3.9299999999999997</v>
          </cell>
          <cell r="E19">
            <v>43.520266666666672</v>
          </cell>
        </row>
        <row r="20">
          <cell r="A20" t="str">
            <v>P Nhơn Hưng</v>
          </cell>
          <cell r="B20">
            <v>43.866399999999999</v>
          </cell>
          <cell r="C20">
            <v>0.14000000000000001</v>
          </cell>
          <cell r="D20">
            <v>13.45</v>
          </cell>
          <cell r="E20">
            <v>57.456400000000002</v>
          </cell>
        </row>
        <row r="21">
          <cell r="A21" t="str">
            <v>P Nhơn Thành</v>
          </cell>
          <cell r="B21">
            <v>15.75</v>
          </cell>
          <cell r="C21">
            <v>2.08</v>
          </cell>
          <cell r="D21">
            <v>19.13</v>
          </cell>
          <cell r="E21">
            <v>36.959999999999994</v>
          </cell>
        </row>
        <row r="22">
          <cell r="A22" t="str">
            <v>Grand Total</v>
          </cell>
          <cell r="B22">
            <v>389.9598666666667</v>
          </cell>
          <cell r="C22">
            <v>126.95399999999999</v>
          </cell>
          <cell r="D22">
            <v>378.75699999999995</v>
          </cell>
          <cell r="E22">
            <v>895.6708666666666</v>
          </cell>
        </row>
      </sheetData>
      <sheetData sheetId="25">
        <row r="1">
          <cell r="A1" t="str">
            <v>Năm thực hiện</v>
          </cell>
          <cell r="B1" t="str">
            <v>(Multiple Items)</v>
          </cell>
        </row>
        <row r="2">
          <cell r="A2" t="str">
            <v>Mã qh</v>
          </cell>
          <cell r="B2" t="str">
            <v>(Multiple Items)</v>
          </cell>
        </row>
        <row r="4">
          <cell r="A4" t="str">
            <v>Count of Diện tích quy hoạch (ha)</v>
          </cell>
          <cell r="B4" t="str">
            <v>Column Labels</v>
          </cell>
        </row>
        <row r="5">
          <cell r="A5" t="str">
            <v>Row Labels</v>
          </cell>
          <cell r="B5" t="str">
            <v>BS</v>
          </cell>
          <cell r="C5" t="str">
            <v>CHUYỂN</v>
          </cell>
          <cell r="D5" t="str">
            <v>GN</v>
          </cell>
          <cell r="E5" t="str">
            <v>Grand Total</v>
          </cell>
        </row>
        <row r="6">
          <cell r="A6" t="str">
            <v>(blank)</v>
          </cell>
          <cell r="B6">
            <v>366</v>
          </cell>
          <cell r="C6">
            <v>90</v>
          </cell>
          <cell r="D6">
            <v>110</v>
          </cell>
          <cell r="E6">
            <v>566</v>
          </cell>
        </row>
        <row r="7">
          <cell r="A7" t="str">
            <v>Nhơn An</v>
          </cell>
          <cell r="B7">
            <v>16</v>
          </cell>
          <cell r="C7">
            <v>9</v>
          </cell>
          <cell r="D7">
            <v>6</v>
          </cell>
          <cell r="E7">
            <v>31</v>
          </cell>
        </row>
        <row r="8">
          <cell r="A8" t="str">
            <v>Nhơn Hạnh</v>
          </cell>
          <cell r="B8">
            <v>20</v>
          </cell>
          <cell r="C8">
            <v>13</v>
          </cell>
          <cell r="D8">
            <v>12</v>
          </cell>
          <cell r="E8">
            <v>45</v>
          </cell>
        </row>
        <row r="9">
          <cell r="A9" t="str">
            <v>Nhơn Hậu</v>
          </cell>
          <cell r="B9">
            <v>21</v>
          </cell>
          <cell r="C9">
            <v>5</v>
          </cell>
          <cell r="D9">
            <v>13</v>
          </cell>
          <cell r="E9">
            <v>39</v>
          </cell>
        </row>
        <row r="10">
          <cell r="A10" t="str">
            <v>Nhơn Khánh</v>
          </cell>
          <cell r="B10">
            <v>14</v>
          </cell>
          <cell r="C10">
            <v>5</v>
          </cell>
          <cell r="D10">
            <v>4</v>
          </cell>
          <cell r="E10">
            <v>23</v>
          </cell>
        </row>
        <row r="11">
          <cell r="A11" t="str">
            <v>Nhơn Lộc</v>
          </cell>
          <cell r="B11">
            <v>21</v>
          </cell>
          <cell r="C11">
            <v>4</v>
          </cell>
          <cell r="D11">
            <v>4</v>
          </cell>
          <cell r="E11">
            <v>29</v>
          </cell>
        </row>
        <row r="12">
          <cell r="A12" t="str">
            <v>Nhơn Mỹ</v>
          </cell>
          <cell r="B12">
            <v>18</v>
          </cell>
          <cell r="C12">
            <v>10</v>
          </cell>
          <cell r="D12">
            <v>13</v>
          </cell>
          <cell r="E12">
            <v>41</v>
          </cell>
        </row>
        <row r="13">
          <cell r="A13" t="str">
            <v>Nhơn Phong</v>
          </cell>
          <cell r="B13">
            <v>30</v>
          </cell>
          <cell r="C13">
            <v>7</v>
          </cell>
          <cell r="D13">
            <v>9</v>
          </cell>
          <cell r="E13">
            <v>46</v>
          </cell>
        </row>
        <row r="14">
          <cell r="A14" t="str">
            <v>Nhơn Phúc</v>
          </cell>
          <cell r="B14">
            <v>22</v>
          </cell>
          <cell r="C14">
            <v>5</v>
          </cell>
          <cell r="D14">
            <v>4</v>
          </cell>
          <cell r="E14">
            <v>31</v>
          </cell>
        </row>
        <row r="15">
          <cell r="A15" t="str">
            <v>Nhơn Tân</v>
          </cell>
          <cell r="B15">
            <v>20</v>
          </cell>
          <cell r="C15">
            <v>5</v>
          </cell>
          <cell r="D15">
            <v>6</v>
          </cell>
          <cell r="E15">
            <v>31</v>
          </cell>
        </row>
        <row r="16">
          <cell r="A16" t="str">
            <v>Nhơn Thọ</v>
          </cell>
          <cell r="B16">
            <v>18</v>
          </cell>
          <cell r="C16">
            <v>7</v>
          </cell>
          <cell r="D16">
            <v>10</v>
          </cell>
          <cell r="E16">
            <v>35</v>
          </cell>
        </row>
        <row r="17">
          <cell r="A17" t="str">
            <v>P Bình Định</v>
          </cell>
          <cell r="B17">
            <v>52</v>
          </cell>
          <cell r="C17">
            <v>2</v>
          </cell>
          <cell r="D17">
            <v>8</v>
          </cell>
          <cell r="E17">
            <v>62</v>
          </cell>
        </row>
        <row r="18">
          <cell r="A18" t="str">
            <v>P Đập Đá</v>
          </cell>
          <cell r="B18">
            <v>21</v>
          </cell>
          <cell r="C18">
            <v>4</v>
          </cell>
          <cell r="D18">
            <v>3</v>
          </cell>
          <cell r="E18">
            <v>28</v>
          </cell>
        </row>
        <row r="19">
          <cell r="A19" t="str">
            <v>P Nhơn Hòa</v>
          </cell>
          <cell r="B19">
            <v>42</v>
          </cell>
          <cell r="C19">
            <v>9</v>
          </cell>
          <cell r="D19">
            <v>4</v>
          </cell>
          <cell r="E19">
            <v>55</v>
          </cell>
        </row>
        <row r="20">
          <cell r="A20" t="str">
            <v>P Nhơn Hưng</v>
          </cell>
          <cell r="B20">
            <v>32</v>
          </cell>
          <cell r="C20">
            <v>1</v>
          </cell>
          <cell r="D20">
            <v>3</v>
          </cell>
          <cell r="E20">
            <v>36</v>
          </cell>
        </row>
        <row r="21">
          <cell r="A21" t="str">
            <v>P Nhơn Thành</v>
          </cell>
          <cell r="B21">
            <v>19</v>
          </cell>
          <cell r="C21">
            <v>4</v>
          </cell>
          <cell r="D21">
            <v>11</v>
          </cell>
          <cell r="E21">
            <v>34</v>
          </cell>
        </row>
        <row r="22">
          <cell r="A22" t="str">
            <v>Grand Total</v>
          </cell>
          <cell r="B22">
            <v>366</v>
          </cell>
          <cell r="C22">
            <v>90</v>
          </cell>
          <cell r="D22">
            <v>110</v>
          </cell>
          <cell r="E22">
            <v>566</v>
          </cell>
        </row>
      </sheetData>
      <sheetData sheetId="26">
        <row r="1">
          <cell r="A1" t="str">
            <v>Năm thực hiện</v>
          </cell>
          <cell r="B1" t="str">
            <v>(Multiple Items)</v>
          </cell>
        </row>
        <row r="2">
          <cell r="A2" t="str">
            <v>Mã qh</v>
          </cell>
          <cell r="B2" t="str">
            <v>(Multiple Items)</v>
          </cell>
        </row>
        <row r="4">
          <cell r="A4" t="str">
            <v>Sum of Diện tích quy hoạch (ha)</v>
          </cell>
          <cell r="B4" t="str">
            <v>Column Labels</v>
          </cell>
        </row>
        <row r="5">
          <cell r="A5" t="str">
            <v>Row Labels</v>
          </cell>
          <cell r="B5" t="str">
            <v>BS</v>
          </cell>
          <cell r="C5" t="str">
            <v>CHUYỂN</v>
          </cell>
          <cell r="D5" t="str">
            <v>GN</v>
          </cell>
          <cell r="E5" t="str">
            <v>Grand Total</v>
          </cell>
        </row>
        <row r="6">
          <cell r="A6" t="str">
            <v>(blank)</v>
          </cell>
          <cell r="B6">
            <v>817.53399999999988</v>
          </cell>
          <cell r="C6">
            <v>41.379999999999995</v>
          </cell>
          <cell r="D6">
            <v>180.36</v>
          </cell>
          <cell r="E6">
            <v>1039.2739999999997</v>
          </cell>
        </row>
        <row r="7">
          <cell r="A7" t="str">
            <v>Nhơn An</v>
          </cell>
          <cell r="B7">
            <v>1.044</v>
          </cell>
          <cell r="D7">
            <v>0.04</v>
          </cell>
          <cell r="E7">
            <v>1.0840000000000001</v>
          </cell>
        </row>
        <row r="8">
          <cell r="A8" t="str">
            <v>Nhơn Hạnh</v>
          </cell>
          <cell r="B8">
            <v>0.1</v>
          </cell>
          <cell r="E8">
            <v>0.1</v>
          </cell>
        </row>
        <row r="9">
          <cell r="A9" t="str">
            <v>Nhơn Hậu</v>
          </cell>
          <cell r="B9">
            <v>3.0100000000000002</v>
          </cell>
          <cell r="D9">
            <v>3.8200000000000003</v>
          </cell>
          <cell r="E9">
            <v>6.83</v>
          </cell>
        </row>
        <row r="10">
          <cell r="A10" t="str">
            <v>Nhơn Khánh</v>
          </cell>
          <cell r="B10">
            <v>3.2</v>
          </cell>
          <cell r="D10">
            <v>1.73</v>
          </cell>
          <cell r="E10">
            <v>4.93</v>
          </cell>
        </row>
        <row r="11">
          <cell r="A11" t="str">
            <v>Nhơn Lộc</v>
          </cell>
          <cell r="B11">
            <v>0.52</v>
          </cell>
          <cell r="C11">
            <v>11.41</v>
          </cell>
          <cell r="D11">
            <v>1.57</v>
          </cell>
          <cell r="E11">
            <v>13.5</v>
          </cell>
        </row>
        <row r="12">
          <cell r="A12" t="str">
            <v>Nhơn Mỹ</v>
          </cell>
          <cell r="B12">
            <v>8.7000000000000011</v>
          </cell>
          <cell r="D12">
            <v>43.65</v>
          </cell>
          <cell r="E12">
            <v>52.35</v>
          </cell>
        </row>
        <row r="13">
          <cell r="A13" t="str">
            <v>Nhơn Phúc</v>
          </cell>
          <cell r="B13">
            <v>0.45</v>
          </cell>
          <cell r="C13">
            <v>0.35</v>
          </cell>
          <cell r="E13">
            <v>0.8</v>
          </cell>
        </row>
        <row r="14">
          <cell r="A14" t="str">
            <v>Nhơn Tân</v>
          </cell>
          <cell r="B14">
            <v>342.62999999999994</v>
          </cell>
          <cell r="C14">
            <v>7</v>
          </cell>
          <cell r="D14">
            <v>88.88</v>
          </cell>
          <cell r="E14">
            <v>438.50999999999993</v>
          </cell>
        </row>
        <row r="15">
          <cell r="A15" t="str">
            <v>Nhơn Thọ</v>
          </cell>
          <cell r="B15">
            <v>12.02</v>
          </cell>
          <cell r="C15">
            <v>22.62</v>
          </cell>
          <cell r="D15">
            <v>30.52</v>
          </cell>
          <cell r="E15">
            <v>65.16</v>
          </cell>
        </row>
        <row r="16">
          <cell r="A16" t="str">
            <v>P Bình Định</v>
          </cell>
          <cell r="B16">
            <v>19.950000000000006</v>
          </cell>
          <cell r="D16">
            <v>0.52</v>
          </cell>
          <cell r="E16">
            <v>20.470000000000006</v>
          </cell>
        </row>
        <row r="17">
          <cell r="A17" t="str">
            <v>P Đập Đá</v>
          </cell>
          <cell r="B17">
            <v>1.04</v>
          </cell>
          <cell r="E17">
            <v>1.04</v>
          </cell>
        </row>
        <row r="18">
          <cell r="A18" t="str">
            <v>P Nhơn Hòa</v>
          </cell>
          <cell r="B18">
            <v>396.96999999999997</v>
          </cell>
          <cell r="D18">
            <v>3.9</v>
          </cell>
          <cell r="E18">
            <v>400.86999999999995</v>
          </cell>
        </row>
        <row r="19">
          <cell r="A19" t="str">
            <v>P Nhơn Hưng</v>
          </cell>
          <cell r="B19">
            <v>7.91</v>
          </cell>
          <cell r="E19">
            <v>7.91</v>
          </cell>
        </row>
        <row r="20">
          <cell r="A20" t="str">
            <v>P Nhơn Thành</v>
          </cell>
          <cell r="B20">
            <v>19.990000000000002</v>
          </cell>
          <cell r="D20">
            <v>5.73</v>
          </cell>
          <cell r="E20">
            <v>25.720000000000002</v>
          </cell>
        </row>
        <row r="21">
          <cell r="A21" t="str">
            <v>Grand Total</v>
          </cell>
          <cell r="B21">
            <v>817.53399999999988</v>
          </cell>
          <cell r="C21">
            <v>41.379999999999995</v>
          </cell>
          <cell r="D21">
            <v>180.36</v>
          </cell>
          <cell r="E21">
            <v>1039.2739999999997</v>
          </cell>
        </row>
      </sheetData>
      <sheetData sheetId="27">
        <row r="1">
          <cell r="A1" t="str">
            <v>Năm thực hiện</v>
          </cell>
          <cell r="B1" t="str">
            <v>(Multiple Items)</v>
          </cell>
        </row>
        <row r="2">
          <cell r="A2" t="str">
            <v>Mã qh</v>
          </cell>
          <cell r="B2" t="str">
            <v>(Multiple Items)</v>
          </cell>
        </row>
        <row r="4">
          <cell r="A4" t="str">
            <v>Count of Diện tích quy hoạch (ha)</v>
          </cell>
          <cell r="B4" t="str">
            <v>Column Labels</v>
          </cell>
        </row>
        <row r="5">
          <cell r="A5" t="str">
            <v>Row Labels</v>
          </cell>
          <cell r="B5" t="str">
            <v>BS</v>
          </cell>
          <cell r="C5" t="str">
            <v>CHUYỂN</v>
          </cell>
          <cell r="D5" t="str">
            <v>GN</v>
          </cell>
          <cell r="E5" t="str">
            <v>Grand Total</v>
          </cell>
        </row>
        <row r="6">
          <cell r="A6" t="str">
            <v>(blank)</v>
          </cell>
          <cell r="B6">
            <v>62</v>
          </cell>
          <cell r="C6">
            <v>8</v>
          </cell>
          <cell r="D6">
            <v>22</v>
          </cell>
          <cell r="E6">
            <v>92</v>
          </cell>
        </row>
        <row r="7">
          <cell r="A7" t="str">
            <v>Nhơn An</v>
          </cell>
          <cell r="B7">
            <v>4</v>
          </cell>
          <cell r="D7">
            <v>1</v>
          </cell>
          <cell r="E7">
            <v>5</v>
          </cell>
        </row>
        <row r="8">
          <cell r="A8" t="str">
            <v>Nhơn Hạnh</v>
          </cell>
          <cell r="B8">
            <v>1</v>
          </cell>
          <cell r="E8">
            <v>1</v>
          </cell>
        </row>
        <row r="9">
          <cell r="A9" t="str">
            <v>Nhơn Hậu</v>
          </cell>
          <cell r="B9">
            <v>3</v>
          </cell>
          <cell r="D9">
            <v>3</v>
          </cell>
          <cell r="E9">
            <v>6</v>
          </cell>
        </row>
        <row r="10">
          <cell r="A10" t="str">
            <v>Nhơn Khánh</v>
          </cell>
          <cell r="B10">
            <v>2</v>
          </cell>
          <cell r="D10">
            <v>1</v>
          </cell>
          <cell r="E10">
            <v>3</v>
          </cell>
        </row>
        <row r="11">
          <cell r="A11" t="str">
            <v>Nhơn Lộc</v>
          </cell>
          <cell r="B11">
            <v>2</v>
          </cell>
          <cell r="C11">
            <v>3</v>
          </cell>
          <cell r="D11">
            <v>3</v>
          </cell>
          <cell r="E11">
            <v>8</v>
          </cell>
        </row>
        <row r="12">
          <cell r="A12" t="str">
            <v>Nhơn Mỹ</v>
          </cell>
          <cell r="B12">
            <v>3</v>
          </cell>
          <cell r="D12">
            <v>2</v>
          </cell>
          <cell r="E12">
            <v>5</v>
          </cell>
        </row>
        <row r="13">
          <cell r="A13" t="str">
            <v>Nhơn Phúc</v>
          </cell>
          <cell r="B13">
            <v>1</v>
          </cell>
          <cell r="C13">
            <v>1</v>
          </cell>
          <cell r="E13">
            <v>2</v>
          </cell>
        </row>
        <row r="14">
          <cell r="A14" t="str">
            <v>Nhơn Tân</v>
          </cell>
          <cell r="B14">
            <v>7</v>
          </cell>
          <cell r="C14">
            <v>2</v>
          </cell>
          <cell r="D14">
            <v>6</v>
          </cell>
          <cell r="E14">
            <v>15</v>
          </cell>
        </row>
        <row r="15">
          <cell r="A15" t="str">
            <v>Nhơn Thọ</v>
          </cell>
          <cell r="B15">
            <v>3</v>
          </cell>
          <cell r="C15">
            <v>2</v>
          </cell>
          <cell r="D15">
            <v>2</v>
          </cell>
          <cell r="E15">
            <v>7</v>
          </cell>
        </row>
        <row r="16">
          <cell r="A16" t="str">
            <v>P Bình Định</v>
          </cell>
          <cell r="B16">
            <v>12</v>
          </cell>
          <cell r="D16">
            <v>1</v>
          </cell>
          <cell r="E16">
            <v>13</v>
          </cell>
        </row>
        <row r="17">
          <cell r="A17" t="str">
            <v>P Đập Đá</v>
          </cell>
          <cell r="B17">
            <v>2</v>
          </cell>
          <cell r="E17">
            <v>2</v>
          </cell>
        </row>
        <row r="18">
          <cell r="A18" t="str">
            <v>P Nhơn Hòa</v>
          </cell>
          <cell r="B18">
            <v>8</v>
          </cell>
          <cell r="D18">
            <v>1</v>
          </cell>
          <cell r="E18">
            <v>9</v>
          </cell>
        </row>
        <row r="19">
          <cell r="A19" t="str">
            <v>P Nhơn Hưng</v>
          </cell>
          <cell r="B19">
            <v>10</v>
          </cell>
          <cell r="E19">
            <v>10</v>
          </cell>
        </row>
        <row r="20">
          <cell r="A20" t="str">
            <v>P Nhơn Thành</v>
          </cell>
          <cell r="B20">
            <v>4</v>
          </cell>
          <cell r="D20">
            <v>2</v>
          </cell>
          <cell r="E20">
            <v>6</v>
          </cell>
        </row>
        <row r="21">
          <cell r="A21" t="str">
            <v>Grand Total</v>
          </cell>
          <cell r="B21">
            <v>62</v>
          </cell>
          <cell r="C21">
            <v>8</v>
          </cell>
          <cell r="D21">
            <v>22</v>
          </cell>
          <cell r="E21">
            <v>92</v>
          </cell>
        </row>
      </sheetData>
      <sheetData sheetId="28">
        <row r="3">
          <cell r="A3" t="str">
            <v>Năm thực hiện</v>
          </cell>
          <cell r="B3" t="str">
            <v>(Multiple Items)</v>
          </cell>
        </row>
        <row r="5">
          <cell r="A5" t="str">
            <v>Sum of LUA</v>
          </cell>
          <cell r="B5" t="str">
            <v>Column Labels</v>
          </cell>
        </row>
        <row r="6">
          <cell r="A6" t="str">
            <v>Row Labels</v>
          </cell>
          <cell r="B6" t="str">
            <v>BS</v>
          </cell>
          <cell r="C6" t="str">
            <v>CHUYỂN</v>
          </cell>
          <cell r="D6" t="str">
            <v>GN</v>
          </cell>
          <cell r="E6" t="str">
            <v>Grand Total</v>
          </cell>
        </row>
        <row r="7">
          <cell r="A7" t="str">
            <v>(blank)</v>
          </cell>
          <cell r="B7">
            <v>207.88086666666663</v>
          </cell>
          <cell r="C7">
            <v>42.14</v>
          </cell>
          <cell r="D7">
            <v>135.67999999999998</v>
          </cell>
          <cell r="E7">
            <v>385.70086666666674</v>
          </cell>
        </row>
        <row r="8">
          <cell r="A8" t="str">
            <v>Nhơn An</v>
          </cell>
          <cell r="B8">
            <v>6.75</v>
          </cell>
          <cell r="C8">
            <v>3.44</v>
          </cell>
          <cell r="D8">
            <v>1.7</v>
          </cell>
          <cell r="E8">
            <v>11.889999999999999</v>
          </cell>
        </row>
        <row r="9">
          <cell r="A9" t="str">
            <v>Nhơn Hạnh</v>
          </cell>
          <cell r="B9">
            <v>15.580000000000002</v>
          </cell>
          <cell r="C9">
            <v>1.27</v>
          </cell>
          <cell r="D9">
            <v>5.0000000000000009</v>
          </cell>
          <cell r="E9">
            <v>21.85</v>
          </cell>
        </row>
        <row r="10">
          <cell r="A10" t="str">
            <v>Nhơn Hậu</v>
          </cell>
          <cell r="B10">
            <v>1.4900000000000002</v>
          </cell>
          <cell r="C10">
            <v>0</v>
          </cell>
          <cell r="D10">
            <v>7.83</v>
          </cell>
          <cell r="E10">
            <v>9.32</v>
          </cell>
        </row>
        <row r="11">
          <cell r="A11" t="str">
            <v>Nhơn Khánh</v>
          </cell>
          <cell r="B11">
            <v>4.92</v>
          </cell>
          <cell r="C11">
            <v>1.51</v>
          </cell>
          <cell r="D11">
            <v>0.5</v>
          </cell>
          <cell r="E11">
            <v>6.93</v>
          </cell>
        </row>
        <row r="12">
          <cell r="A12" t="str">
            <v>Nhơn Lộc</v>
          </cell>
          <cell r="B12">
            <v>4.91</v>
          </cell>
          <cell r="C12">
            <v>0.46</v>
          </cell>
          <cell r="D12">
            <v>2.11</v>
          </cell>
          <cell r="E12">
            <v>7.48</v>
          </cell>
        </row>
        <row r="13">
          <cell r="A13" t="str">
            <v>Nhơn Mỹ</v>
          </cell>
          <cell r="B13">
            <v>2.87</v>
          </cell>
          <cell r="C13">
            <v>1.37</v>
          </cell>
          <cell r="D13">
            <v>0.3</v>
          </cell>
          <cell r="E13">
            <v>4.54</v>
          </cell>
        </row>
        <row r="14">
          <cell r="A14" t="str">
            <v>Nhơn Phong</v>
          </cell>
          <cell r="B14">
            <v>7.5599999999999978</v>
          </cell>
          <cell r="C14">
            <v>6</v>
          </cell>
          <cell r="D14">
            <v>11.57</v>
          </cell>
          <cell r="E14">
            <v>25.13</v>
          </cell>
        </row>
        <row r="15">
          <cell r="A15" t="str">
            <v>Nhơn Phúc</v>
          </cell>
          <cell r="B15">
            <v>4.84</v>
          </cell>
          <cell r="C15">
            <v>0.66999999999999993</v>
          </cell>
          <cell r="D15">
            <v>0.16</v>
          </cell>
          <cell r="E15">
            <v>5.67</v>
          </cell>
        </row>
        <row r="16">
          <cell r="A16" t="str">
            <v>Nhơn Tân</v>
          </cell>
          <cell r="B16">
            <v>0.42999999999999994</v>
          </cell>
          <cell r="C16">
            <v>6.16</v>
          </cell>
          <cell r="D16">
            <v>4.1400000000000006</v>
          </cell>
          <cell r="E16">
            <v>10.73</v>
          </cell>
        </row>
        <row r="17">
          <cell r="A17" t="str">
            <v>Nhơn Thọ</v>
          </cell>
          <cell r="B17">
            <v>2.4400000000000004</v>
          </cell>
          <cell r="C17">
            <v>13.809999999999999</v>
          </cell>
          <cell r="D17">
            <v>35.940000000000005</v>
          </cell>
          <cell r="E17">
            <v>52.190000000000005</v>
          </cell>
        </row>
        <row r="18">
          <cell r="A18" t="str">
            <v>P Bình Định</v>
          </cell>
          <cell r="B18">
            <v>86.149000000000001</v>
          </cell>
          <cell r="C18">
            <v>1.78</v>
          </cell>
          <cell r="D18">
            <v>37.449999999999996</v>
          </cell>
          <cell r="E18">
            <v>125.37899999999999</v>
          </cell>
        </row>
        <row r="19">
          <cell r="A19" t="str">
            <v>P Đập Đá</v>
          </cell>
          <cell r="B19">
            <v>11.11</v>
          </cell>
          <cell r="C19">
            <v>3.59</v>
          </cell>
          <cell r="D19">
            <v>10.469999999999999</v>
          </cell>
          <cell r="E19">
            <v>25.169999999999998</v>
          </cell>
        </row>
        <row r="20">
          <cell r="A20" t="str">
            <v>P Nhơn Hòa</v>
          </cell>
          <cell r="B20">
            <v>16.650266666666663</v>
          </cell>
          <cell r="C20">
            <v>1.94</v>
          </cell>
          <cell r="D20">
            <v>1.8</v>
          </cell>
          <cell r="E20">
            <v>20.390266666666665</v>
          </cell>
        </row>
        <row r="21">
          <cell r="A21" t="str">
            <v>P Nhơn Hưng</v>
          </cell>
          <cell r="B21">
            <v>33.861599999999996</v>
          </cell>
          <cell r="C21">
            <v>0.14000000000000001</v>
          </cell>
          <cell r="D21">
            <v>7.99</v>
          </cell>
          <cell r="E21">
            <v>41.991599999999998</v>
          </cell>
        </row>
        <row r="22">
          <cell r="A22" t="str">
            <v>P Nhơn Thành</v>
          </cell>
          <cell r="B22">
            <v>8.3199999999999985</v>
          </cell>
          <cell r="C22">
            <v>0</v>
          </cell>
          <cell r="D22">
            <v>8.7200000000000006</v>
          </cell>
          <cell r="E22">
            <v>17.04</v>
          </cell>
        </row>
        <row r="23">
          <cell r="A23" t="str">
            <v>Grand Total</v>
          </cell>
          <cell r="B23">
            <v>207.88086666666663</v>
          </cell>
          <cell r="C23">
            <v>42.14</v>
          </cell>
          <cell r="D23">
            <v>135.67999999999998</v>
          </cell>
          <cell r="E23">
            <v>385.70086666666674</v>
          </cell>
        </row>
      </sheetData>
      <sheetData sheetId="29">
        <row r="3">
          <cell r="A3" t="str">
            <v>Năm thực hiện</v>
          </cell>
          <cell r="B3" t="str">
            <v>(Multiple Items)</v>
          </cell>
        </row>
        <row r="5">
          <cell r="A5" t="str">
            <v>Count of LUA</v>
          </cell>
          <cell r="B5" t="str">
            <v>Column Labels</v>
          </cell>
        </row>
        <row r="6">
          <cell r="A6" t="str">
            <v>Row Labels</v>
          </cell>
          <cell r="B6" t="str">
            <v>BS</v>
          </cell>
          <cell r="C6" t="str">
            <v>CHUYỂN</v>
          </cell>
          <cell r="D6" t="str">
            <v>GN</v>
          </cell>
          <cell r="E6" t="str">
            <v>Grand Total</v>
          </cell>
        </row>
        <row r="7">
          <cell r="A7" t="str">
            <v>(blank)</v>
          </cell>
          <cell r="B7">
            <v>428</v>
          </cell>
          <cell r="C7">
            <v>98</v>
          </cell>
          <cell r="D7">
            <v>132</v>
          </cell>
          <cell r="E7">
            <v>658</v>
          </cell>
        </row>
        <row r="8">
          <cell r="A8" t="str">
            <v>Nhơn An</v>
          </cell>
          <cell r="B8">
            <v>20</v>
          </cell>
          <cell r="C8">
            <v>9</v>
          </cell>
          <cell r="D8">
            <v>7</v>
          </cell>
          <cell r="E8">
            <v>36</v>
          </cell>
        </row>
        <row r="9">
          <cell r="A9" t="str">
            <v>Nhơn Hạnh</v>
          </cell>
          <cell r="B9">
            <v>21</v>
          </cell>
          <cell r="C9">
            <v>13</v>
          </cell>
          <cell r="D9">
            <v>12</v>
          </cell>
          <cell r="E9">
            <v>46</v>
          </cell>
        </row>
        <row r="10">
          <cell r="A10" t="str">
            <v>Nhơn Hậu</v>
          </cell>
          <cell r="B10">
            <v>24</v>
          </cell>
          <cell r="C10">
            <v>5</v>
          </cell>
          <cell r="D10">
            <v>16</v>
          </cell>
          <cell r="E10">
            <v>45</v>
          </cell>
        </row>
        <row r="11">
          <cell r="A11" t="str">
            <v>Nhơn Khánh</v>
          </cell>
          <cell r="B11">
            <v>16</v>
          </cell>
          <cell r="C11">
            <v>5</v>
          </cell>
          <cell r="D11">
            <v>5</v>
          </cell>
          <cell r="E11">
            <v>26</v>
          </cell>
        </row>
        <row r="12">
          <cell r="A12" t="str">
            <v>Nhơn Lộc</v>
          </cell>
          <cell r="B12">
            <v>23</v>
          </cell>
          <cell r="C12">
            <v>7</v>
          </cell>
          <cell r="D12">
            <v>7</v>
          </cell>
          <cell r="E12">
            <v>37</v>
          </cell>
        </row>
        <row r="13">
          <cell r="A13" t="str">
            <v>Nhơn Mỹ</v>
          </cell>
          <cell r="B13">
            <v>21</v>
          </cell>
          <cell r="C13">
            <v>10</v>
          </cell>
          <cell r="D13">
            <v>15</v>
          </cell>
          <cell r="E13">
            <v>46</v>
          </cell>
        </row>
        <row r="14">
          <cell r="A14" t="str">
            <v>Nhơn Phong</v>
          </cell>
          <cell r="B14">
            <v>30</v>
          </cell>
          <cell r="C14">
            <v>7</v>
          </cell>
          <cell r="D14">
            <v>9</v>
          </cell>
          <cell r="E14">
            <v>46</v>
          </cell>
        </row>
        <row r="15">
          <cell r="A15" t="str">
            <v>Nhơn Phúc</v>
          </cell>
          <cell r="B15">
            <v>23</v>
          </cell>
          <cell r="C15">
            <v>6</v>
          </cell>
          <cell r="D15">
            <v>4</v>
          </cell>
          <cell r="E15">
            <v>33</v>
          </cell>
        </row>
        <row r="16">
          <cell r="A16" t="str">
            <v>Nhơn Tân</v>
          </cell>
          <cell r="B16">
            <v>27</v>
          </cell>
          <cell r="C16">
            <v>7</v>
          </cell>
          <cell r="D16">
            <v>12</v>
          </cell>
          <cell r="E16">
            <v>46</v>
          </cell>
        </row>
        <row r="17">
          <cell r="A17" t="str">
            <v>Nhơn Thọ</v>
          </cell>
          <cell r="B17">
            <v>21</v>
          </cell>
          <cell r="C17">
            <v>9</v>
          </cell>
          <cell r="D17">
            <v>12</v>
          </cell>
          <cell r="E17">
            <v>42</v>
          </cell>
        </row>
        <row r="18">
          <cell r="A18" t="str">
            <v>P Bình Định</v>
          </cell>
          <cell r="B18">
            <v>64</v>
          </cell>
          <cell r="C18">
            <v>2</v>
          </cell>
          <cell r="D18">
            <v>9</v>
          </cell>
          <cell r="E18">
            <v>75</v>
          </cell>
        </row>
        <row r="19">
          <cell r="A19" t="str">
            <v>P Đập Đá</v>
          </cell>
          <cell r="B19">
            <v>23</v>
          </cell>
          <cell r="C19">
            <v>4</v>
          </cell>
          <cell r="D19">
            <v>3</v>
          </cell>
          <cell r="E19">
            <v>30</v>
          </cell>
        </row>
        <row r="20">
          <cell r="A20" t="str">
            <v>P Nhơn Hòa</v>
          </cell>
          <cell r="B20">
            <v>50</v>
          </cell>
          <cell r="C20">
            <v>9</v>
          </cell>
          <cell r="D20">
            <v>5</v>
          </cell>
          <cell r="E20">
            <v>64</v>
          </cell>
        </row>
        <row r="21">
          <cell r="A21" t="str">
            <v>P Nhơn Hưng</v>
          </cell>
          <cell r="B21">
            <v>42</v>
          </cell>
          <cell r="C21">
            <v>1</v>
          </cell>
          <cell r="D21">
            <v>3</v>
          </cell>
          <cell r="E21">
            <v>46</v>
          </cell>
        </row>
        <row r="22">
          <cell r="A22" t="str">
            <v>P Nhơn Thành</v>
          </cell>
          <cell r="B22">
            <v>23</v>
          </cell>
          <cell r="C22">
            <v>4</v>
          </cell>
          <cell r="D22">
            <v>13</v>
          </cell>
          <cell r="E22">
            <v>40</v>
          </cell>
        </row>
        <row r="23">
          <cell r="A23" t="str">
            <v>Grand Total</v>
          </cell>
          <cell r="B23">
            <v>428</v>
          </cell>
          <cell r="C23">
            <v>98</v>
          </cell>
          <cell r="D23">
            <v>132</v>
          </cell>
          <cell r="E23">
            <v>658</v>
          </cell>
        </row>
      </sheetData>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MB"/>
      <sheetName val="Bia"/>
      <sheetName val="12CH (luu)"/>
      <sheetName val="Sheet3"/>
      <sheetName val="01CH(16)"/>
      <sheetName val="Sheet2"/>
      <sheetName val="06tt"/>
      <sheetName val="7tt"/>
      <sheetName val="08tt"/>
      <sheetName val="09tt"/>
      <sheetName val="01CH"/>
      <sheetName val="02CHbc"/>
      <sheetName val="02bc"/>
      <sheetName val="02CH"/>
      <sheetName val="06bc"/>
      <sheetName val="06b.c"/>
      <sheetName val="06CH"/>
      <sheetName val="08CHSS"/>
      <sheetName val="08CHbc"/>
      <sheetName val="09CHbc)"/>
      <sheetName val="07CHbc (2)"/>
      <sheetName val="07bc"/>
      <sheetName val="07CH"/>
      <sheetName val="08CH"/>
      <sheetName val="08ch(bc20)"/>
      <sheetName val="09CH"/>
      <sheetName val="09CH(bc)"/>
      <sheetName val="13CH.20"/>
      <sheetName val="13CH.19"/>
      <sheetName val="Sheet1"/>
      <sheetName val="Sheet4"/>
      <sheetName val="10CH"/>
      <sheetName val="Sheet5"/>
      <sheetName val="CT trung"/>
      <sheetName val="PL5 DO_NHU CAU"/>
      <sheetName val="PL4 ĐO_xong"/>
      <sheetName val="PL3_BS_luu"/>
      <sheetName val="PL3_BS"/>
      <sheetName val="PL2_huy"/>
      <sheetName val="kktnhoi"/>
      <sheetName val="BangGIADat"/>
      <sheetName val="11CH"/>
      <sheetName val="dmct kh20"/>
      <sheetName val="BIEU CHINH"/>
      <sheetName val="RANQ"/>
      <sheetName val="tien"/>
      <sheetName val="Sheet7"/>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K82"/>
  <sheetViews>
    <sheetView topLeftCell="A88" zoomScale="80" zoomScaleNormal="80" workbookViewId="0">
      <selection activeCell="P9" sqref="P9"/>
    </sheetView>
  </sheetViews>
  <sheetFormatPr defaultColWidth="9.140625" defaultRowHeight="15.75"/>
  <cols>
    <col min="1" max="1" width="6.42578125" style="49" bestFit="1" customWidth="1"/>
    <col min="2" max="2" width="37.85546875" style="49" customWidth="1"/>
    <col min="3" max="3" width="8.85546875" style="46" bestFit="1" customWidth="1"/>
    <col min="4" max="4" width="19.7109375" style="46" customWidth="1"/>
    <col min="5" max="5" width="15.85546875" style="46" customWidth="1"/>
    <col min="6" max="6" width="11" style="47" customWidth="1"/>
    <col min="7" max="7" width="11.42578125" style="47" customWidth="1"/>
    <col min="8" max="9" width="12.28515625" style="47" customWidth="1"/>
    <col min="10" max="10" width="9.7109375" style="47" customWidth="1"/>
    <col min="11" max="11" width="45.85546875" style="48" hidden="1" customWidth="1"/>
    <col min="12" max="16384" width="9.140625" style="49"/>
  </cols>
  <sheetData>
    <row r="1" spans="1:11">
      <c r="A1" s="111" t="s">
        <v>261</v>
      </c>
      <c r="B1" s="111"/>
    </row>
    <row r="2" spans="1:11" ht="45" customHeight="1">
      <c r="A2" s="112" t="s">
        <v>269</v>
      </c>
      <c r="B2" s="112"/>
      <c r="C2" s="112"/>
      <c r="D2" s="112"/>
      <c r="E2" s="112"/>
      <c r="F2" s="112"/>
      <c r="G2" s="112"/>
      <c r="H2" s="112"/>
      <c r="I2" s="112"/>
      <c r="J2" s="112"/>
      <c r="K2" s="112"/>
    </row>
    <row r="3" spans="1:11">
      <c r="A3" s="134" t="s">
        <v>278</v>
      </c>
      <c r="B3" s="135"/>
      <c r="C3" s="135"/>
      <c r="D3" s="135"/>
      <c r="E3" s="135"/>
      <c r="F3" s="135"/>
      <c r="G3" s="135"/>
      <c r="H3" s="135"/>
      <c r="I3" s="135"/>
      <c r="J3" s="135"/>
      <c r="K3" s="135"/>
    </row>
    <row r="4" spans="1:11" ht="18.75">
      <c r="A4" s="99"/>
      <c r="B4" s="98"/>
      <c r="C4" s="98"/>
      <c r="D4" s="98"/>
      <c r="E4" s="98"/>
      <c r="F4" s="98"/>
      <c r="G4" s="98"/>
      <c r="H4" s="98"/>
      <c r="I4" s="98"/>
      <c r="J4" s="98"/>
      <c r="K4" s="98"/>
    </row>
    <row r="5" spans="1:11" ht="21" customHeight="1">
      <c r="A5" s="113" t="s">
        <v>0</v>
      </c>
      <c r="B5" s="114" t="s">
        <v>120</v>
      </c>
      <c r="C5" s="104" t="s">
        <v>37</v>
      </c>
      <c r="D5" s="104" t="s">
        <v>11</v>
      </c>
      <c r="E5" s="104" t="s">
        <v>267</v>
      </c>
      <c r="F5" s="104" t="s">
        <v>1</v>
      </c>
      <c r="G5" s="104" t="s">
        <v>145</v>
      </c>
      <c r="H5" s="104" t="s">
        <v>144</v>
      </c>
      <c r="I5" s="104" t="s">
        <v>239</v>
      </c>
      <c r="J5" s="104" t="s">
        <v>20</v>
      </c>
      <c r="K5" s="107" t="s">
        <v>130</v>
      </c>
    </row>
    <row r="6" spans="1:11" ht="36" customHeight="1">
      <c r="A6" s="105"/>
      <c r="B6" s="114"/>
      <c r="C6" s="106"/>
      <c r="D6" s="106"/>
      <c r="E6" s="106"/>
      <c r="F6" s="105"/>
      <c r="G6" s="105"/>
      <c r="H6" s="105"/>
      <c r="I6" s="105"/>
      <c r="J6" s="106"/>
      <c r="K6" s="108"/>
    </row>
    <row r="7" spans="1:11" ht="18.75" customHeight="1">
      <c r="A7" s="50"/>
      <c r="B7" s="51" t="s">
        <v>143</v>
      </c>
      <c r="C7" s="52"/>
      <c r="D7" s="52" t="s">
        <v>257</v>
      </c>
      <c r="E7" s="52"/>
      <c r="F7" s="53">
        <f>F8+F48+F71+F73+F80</f>
        <v>1085.1849999999999</v>
      </c>
      <c r="G7" s="53">
        <f t="shared" ref="G7:J7" si="0">G8+G48+G71+G73+G80</f>
        <v>296.35000000000002</v>
      </c>
      <c r="H7" s="53">
        <f t="shared" si="0"/>
        <v>78.22</v>
      </c>
      <c r="I7" s="53">
        <f t="shared" si="0"/>
        <v>2.4299999999999997</v>
      </c>
      <c r="J7" s="53">
        <f t="shared" si="0"/>
        <v>708.18499999999995</v>
      </c>
      <c r="K7" s="54"/>
    </row>
    <row r="8" spans="1:11" ht="18.75" customHeight="1">
      <c r="A8" s="50">
        <v>1</v>
      </c>
      <c r="B8" s="51" t="s">
        <v>48</v>
      </c>
      <c r="C8" s="52"/>
      <c r="D8" s="52" t="s">
        <v>260</v>
      </c>
      <c r="E8" s="52"/>
      <c r="F8" s="53">
        <f>F9+F30+F44+F42</f>
        <v>342.62499999999994</v>
      </c>
      <c r="G8" s="53">
        <f>G9+G30+G44+G42</f>
        <v>106.07000000000002</v>
      </c>
      <c r="H8" s="53">
        <f>H9+H30+H44+H42</f>
        <v>53.790000000000006</v>
      </c>
      <c r="I8" s="53">
        <f t="shared" ref="I8:K8" si="1">I9+I30+I44+I42</f>
        <v>2.4299999999999997</v>
      </c>
      <c r="J8" s="53">
        <f t="shared" si="1"/>
        <v>180.33499999999995</v>
      </c>
      <c r="K8" s="53">
        <f t="shared" si="1"/>
        <v>0</v>
      </c>
    </row>
    <row r="9" spans="1:11" ht="18.75" customHeight="1">
      <c r="A9" s="50" t="s">
        <v>56</v>
      </c>
      <c r="B9" s="51" t="s">
        <v>49</v>
      </c>
      <c r="C9" s="52"/>
      <c r="D9" s="52" t="s">
        <v>250</v>
      </c>
      <c r="E9" s="52"/>
      <c r="F9" s="53">
        <f>SUM(F10:F29)</f>
        <v>277.7949999999999</v>
      </c>
      <c r="G9" s="53">
        <f t="shared" ref="G9:J9" si="2">SUM(G10:G29)</f>
        <v>95.920000000000016</v>
      </c>
      <c r="H9" s="53">
        <f t="shared" si="2"/>
        <v>38.49</v>
      </c>
      <c r="I9" s="53">
        <f t="shared" si="2"/>
        <v>1.2</v>
      </c>
      <c r="J9" s="53">
        <f t="shared" si="2"/>
        <v>142.18499999999997</v>
      </c>
      <c r="K9" s="54"/>
    </row>
    <row r="10" spans="1:11" ht="87" customHeight="1">
      <c r="A10" s="55">
        <v>1</v>
      </c>
      <c r="B10" s="56" t="s">
        <v>221</v>
      </c>
      <c r="C10" s="57" t="s">
        <v>39</v>
      </c>
      <c r="D10" s="57" t="s">
        <v>222</v>
      </c>
      <c r="E10" s="58" t="s">
        <v>128</v>
      </c>
      <c r="F10" s="59">
        <v>2.64</v>
      </c>
      <c r="G10" s="59">
        <v>2</v>
      </c>
      <c r="H10" s="59"/>
      <c r="I10" s="59"/>
      <c r="J10" s="59">
        <f>F10-G10</f>
        <v>0.64000000000000012</v>
      </c>
      <c r="K10" s="60" t="s">
        <v>226</v>
      </c>
    </row>
    <row r="11" spans="1:11" ht="123.75" customHeight="1">
      <c r="A11" s="55">
        <v>2</v>
      </c>
      <c r="B11" s="56" t="s">
        <v>229</v>
      </c>
      <c r="C11" s="57" t="s">
        <v>39</v>
      </c>
      <c r="D11" s="57" t="s">
        <v>230</v>
      </c>
      <c r="E11" s="58" t="s">
        <v>128</v>
      </c>
      <c r="F11" s="59">
        <v>1.4999999999999999E-2</v>
      </c>
      <c r="G11" s="59"/>
      <c r="H11" s="59"/>
      <c r="I11" s="59"/>
      <c r="J11" s="59">
        <f>F11-G11</f>
        <v>1.4999999999999999E-2</v>
      </c>
      <c r="K11" s="60" t="s">
        <v>223</v>
      </c>
    </row>
    <row r="12" spans="1:11" ht="63">
      <c r="A12" s="55">
        <v>3</v>
      </c>
      <c r="B12" s="56" t="s">
        <v>233</v>
      </c>
      <c r="C12" s="57" t="s">
        <v>39</v>
      </c>
      <c r="D12" s="57" t="s">
        <v>234</v>
      </c>
      <c r="E12" s="58" t="s">
        <v>128</v>
      </c>
      <c r="F12" s="59">
        <v>0.53</v>
      </c>
      <c r="G12" s="59"/>
      <c r="H12" s="59"/>
      <c r="I12" s="59"/>
      <c r="J12" s="59">
        <v>0.53</v>
      </c>
      <c r="K12" s="60" t="s">
        <v>244</v>
      </c>
    </row>
    <row r="13" spans="1:11" ht="63">
      <c r="A13" s="55">
        <v>4</v>
      </c>
      <c r="B13" s="56" t="s">
        <v>263</v>
      </c>
      <c r="C13" s="57" t="s">
        <v>39</v>
      </c>
      <c r="D13" s="57" t="s">
        <v>212</v>
      </c>
      <c r="E13" s="61" t="s">
        <v>121</v>
      </c>
      <c r="F13" s="59">
        <v>32.78</v>
      </c>
      <c r="G13" s="59">
        <v>23.2</v>
      </c>
      <c r="H13" s="59"/>
      <c r="I13" s="59"/>
      <c r="J13" s="59">
        <f>F13-G13</f>
        <v>9.5800000000000018</v>
      </c>
      <c r="K13" s="60" t="s">
        <v>256</v>
      </c>
    </row>
    <row r="14" spans="1:11" ht="63">
      <c r="A14" s="55">
        <v>5</v>
      </c>
      <c r="B14" s="56" t="s">
        <v>238</v>
      </c>
      <c r="C14" s="57" t="s">
        <v>39</v>
      </c>
      <c r="D14" s="57" t="s">
        <v>264</v>
      </c>
      <c r="E14" s="61" t="s">
        <v>121</v>
      </c>
      <c r="F14" s="59">
        <v>62.35</v>
      </c>
      <c r="G14" s="59">
        <v>49.59</v>
      </c>
      <c r="H14" s="59"/>
      <c r="I14" s="59"/>
      <c r="J14" s="59">
        <f>F14-G14</f>
        <v>12.759999999999998</v>
      </c>
      <c r="K14" s="60" t="s">
        <v>256</v>
      </c>
    </row>
    <row r="15" spans="1:11" ht="63">
      <c r="A15" s="55">
        <v>6</v>
      </c>
      <c r="B15" s="56" t="s">
        <v>236</v>
      </c>
      <c r="C15" s="57" t="s">
        <v>39</v>
      </c>
      <c r="D15" s="57" t="s">
        <v>265</v>
      </c>
      <c r="E15" s="61" t="s">
        <v>121</v>
      </c>
      <c r="F15" s="59">
        <v>5.71</v>
      </c>
      <c r="G15" s="59">
        <v>5.53</v>
      </c>
      <c r="H15" s="59"/>
      <c r="I15" s="59"/>
      <c r="J15" s="59">
        <f>F15-G15</f>
        <v>0.17999999999999972</v>
      </c>
      <c r="K15" s="60" t="s">
        <v>256</v>
      </c>
    </row>
    <row r="16" spans="1:11" ht="81.75" customHeight="1">
      <c r="A16" s="55">
        <v>7</v>
      </c>
      <c r="B16" s="56" t="s">
        <v>266</v>
      </c>
      <c r="C16" s="57" t="s">
        <v>39</v>
      </c>
      <c r="D16" s="57" t="s">
        <v>237</v>
      </c>
      <c r="E16" s="61" t="s">
        <v>121</v>
      </c>
      <c r="F16" s="59">
        <v>0.16</v>
      </c>
      <c r="G16" s="59"/>
      <c r="H16" s="59"/>
      <c r="I16" s="59"/>
      <c r="J16" s="59">
        <f>F16-G16</f>
        <v>0.16</v>
      </c>
      <c r="K16" s="60" t="s">
        <v>246</v>
      </c>
    </row>
    <row r="17" spans="1:11" ht="90.75" customHeight="1">
      <c r="A17" s="55">
        <v>8</v>
      </c>
      <c r="B17" s="56" t="s">
        <v>245</v>
      </c>
      <c r="C17" s="57" t="s">
        <v>39</v>
      </c>
      <c r="D17" s="57" t="s">
        <v>241</v>
      </c>
      <c r="E17" s="61" t="s">
        <v>121</v>
      </c>
      <c r="F17" s="59">
        <v>44.84</v>
      </c>
      <c r="G17" s="59"/>
      <c r="H17" s="59">
        <v>11.82</v>
      </c>
      <c r="I17" s="59">
        <v>1.2</v>
      </c>
      <c r="J17" s="59">
        <f>F17-G17-H17-I17</f>
        <v>31.820000000000004</v>
      </c>
      <c r="K17" s="60" t="s">
        <v>246</v>
      </c>
    </row>
    <row r="18" spans="1:11" ht="90.75" customHeight="1">
      <c r="A18" s="55">
        <v>9</v>
      </c>
      <c r="B18" s="56" t="s">
        <v>247</v>
      </c>
      <c r="C18" s="57" t="s">
        <v>39</v>
      </c>
      <c r="D18" s="57" t="s">
        <v>241</v>
      </c>
      <c r="E18" s="61" t="s">
        <v>121</v>
      </c>
      <c r="F18" s="59">
        <v>65.23</v>
      </c>
      <c r="G18" s="59">
        <v>1.1399999999999999</v>
      </c>
      <c r="H18" s="59">
        <v>22.67</v>
      </c>
      <c r="I18" s="59"/>
      <c r="J18" s="59">
        <f>F18-G18-H18-I18</f>
        <v>41.42</v>
      </c>
      <c r="K18" s="60" t="s">
        <v>249</v>
      </c>
    </row>
    <row r="19" spans="1:11" ht="90.75" customHeight="1">
      <c r="A19" s="55">
        <v>10</v>
      </c>
      <c r="B19" s="56" t="s">
        <v>247</v>
      </c>
      <c r="C19" s="57" t="s">
        <v>39</v>
      </c>
      <c r="D19" s="57" t="s">
        <v>248</v>
      </c>
      <c r="E19" s="61" t="s">
        <v>121</v>
      </c>
      <c r="F19" s="59">
        <v>26.17</v>
      </c>
      <c r="G19" s="59">
        <v>1.03</v>
      </c>
      <c r="H19" s="59">
        <v>2.15</v>
      </c>
      <c r="I19" s="59"/>
      <c r="J19" s="59">
        <f>F19-G19-H19-I19</f>
        <v>22.990000000000002</v>
      </c>
      <c r="K19" s="60" t="s">
        <v>249</v>
      </c>
    </row>
    <row r="20" spans="1:11" ht="78.75">
      <c r="A20" s="55">
        <v>11</v>
      </c>
      <c r="B20" s="115" t="s">
        <v>21</v>
      </c>
      <c r="C20" s="57" t="s">
        <v>39</v>
      </c>
      <c r="D20" s="57" t="s">
        <v>212</v>
      </c>
      <c r="E20" s="57" t="s">
        <v>121</v>
      </c>
      <c r="F20" s="62">
        <v>25.22</v>
      </c>
      <c r="G20" s="62">
        <v>9.9700000000000006</v>
      </c>
      <c r="H20" s="62">
        <v>0.86</v>
      </c>
      <c r="I20" s="62"/>
      <c r="J20" s="62">
        <f>F20-G20-H20</f>
        <v>14.389999999999999</v>
      </c>
      <c r="K20" s="63" t="s">
        <v>207</v>
      </c>
    </row>
    <row r="21" spans="1:11" ht="78.75">
      <c r="A21" s="55">
        <v>12</v>
      </c>
      <c r="B21" s="116"/>
      <c r="C21" s="57" t="s">
        <v>39</v>
      </c>
      <c r="D21" s="57" t="s">
        <v>211</v>
      </c>
      <c r="E21" s="57" t="s">
        <v>121</v>
      </c>
      <c r="F21" s="62">
        <v>1.71</v>
      </c>
      <c r="G21" s="62"/>
      <c r="H21" s="62">
        <v>0.14000000000000001</v>
      </c>
      <c r="I21" s="62"/>
      <c r="J21" s="62">
        <f>F21-G21-H21</f>
        <v>1.5699999999999998</v>
      </c>
      <c r="K21" s="63" t="s">
        <v>213</v>
      </c>
    </row>
    <row r="22" spans="1:11" ht="42.75" customHeight="1">
      <c r="A22" s="55">
        <v>13</v>
      </c>
      <c r="B22" s="102" t="s">
        <v>3</v>
      </c>
      <c r="C22" s="64" t="s">
        <v>39</v>
      </c>
      <c r="D22" s="65" t="s">
        <v>64</v>
      </c>
      <c r="E22" s="61" t="s">
        <v>121</v>
      </c>
      <c r="F22" s="62">
        <v>0.85</v>
      </c>
      <c r="G22" s="62"/>
      <c r="H22" s="62">
        <v>0.85</v>
      </c>
      <c r="I22" s="62"/>
      <c r="J22" s="62"/>
      <c r="K22" s="100" t="s">
        <v>146</v>
      </c>
    </row>
    <row r="23" spans="1:11" ht="42.75" customHeight="1">
      <c r="A23" s="55">
        <v>14</v>
      </c>
      <c r="B23" s="103"/>
      <c r="C23" s="64" t="s">
        <v>39</v>
      </c>
      <c r="D23" s="65" t="s">
        <v>63</v>
      </c>
      <c r="E23" s="61" t="s">
        <v>121</v>
      </c>
      <c r="F23" s="62">
        <v>0.52</v>
      </c>
      <c r="G23" s="62">
        <v>0.08</v>
      </c>
      <c r="H23" s="62"/>
      <c r="I23" s="62"/>
      <c r="J23" s="62">
        <f t="shared" ref="J23:J29" si="3">F23-G23-H23</f>
        <v>0.44</v>
      </c>
      <c r="K23" s="101"/>
    </row>
    <row r="24" spans="1:11" ht="47.25">
      <c r="A24" s="55">
        <v>15</v>
      </c>
      <c r="B24" s="66" t="s">
        <v>147</v>
      </c>
      <c r="C24" s="65" t="s">
        <v>39</v>
      </c>
      <c r="D24" s="65" t="s">
        <v>65</v>
      </c>
      <c r="E24" s="65" t="s">
        <v>36</v>
      </c>
      <c r="F24" s="62">
        <v>0.78</v>
      </c>
      <c r="G24" s="62">
        <v>0.08</v>
      </c>
      <c r="H24" s="62"/>
      <c r="I24" s="62"/>
      <c r="J24" s="62">
        <f t="shared" si="3"/>
        <v>0.70000000000000007</v>
      </c>
      <c r="K24" s="67" t="s">
        <v>122</v>
      </c>
    </row>
    <row r="25" spans="1:11" ht="37.5" customHeight="1">
      <c r="A25" s="55">
        <v>16</v>
      </c>
      <c r="B25" s="102" t="s">
        <v>111</v>
      </c>
      <c r="C25" s="65" t="s">
        <v>39</v>
      </c>
      <c r="D25" s="65" t="s">
        <v>148</v>
      </c>
      <c r="E25" s="64" t="s">
        <v>103</v>
      </c>
      <c r="F25" s="62">
        <v>5.0199999999999996</v>
      </c>
      <c r="G25" s="62">
        <v>2.34</v>
      </c>
      <c r="H25" s="62"/>
      <c r="I25" s="62"/>
      <c r="J25" s="62">
        <f t="shared" si="3"/>
        <v>2.6799999999999997</v>
      </c>
      <c r="K25" s="100" t="s">
        <v>150</v>
      </c>
    </row>
    <row r="26" spans="1:11" ht="30" customHeight="1">
      <c r="A26" s="55">
        <v>17</v>
      </c>
      <c r="B26" s="103"/>
      <c r="C26" s="65" t="s">
        <v>39</v>
      </c>
      <c r="D26" s="65" t="s">
        <v>149</v>
      </c>
      <c r="E26" s="64" t="s">
        <v>103</v>
      </c>
      <c r="F26" s="62">
        <v>0.39</v>
      </c>
      <c r="G26" s="62">
        <v>0.15</v>
      </c>
      <c r="H26" s="62"/>
      <c r="I26" s="62"/>
      <c r="J26" s="62">
        <f t="shared" si="3"/>
        <v>0.24000000000000002</v>
      </c>
      <c r="K26" s="101"/>
    </row>
    <row r="27" spans="1:11" ht="78.75">
      <c r="A27" s="55">
        <v>18</v>
      </c>
      <c r="B27" s="66" t="s">
        <v>152</v>
      </c>
      <c r="C27" s="65" t="s">
        <v>39</v>
      </c>
      <c r="D27" s="65" t="s">
        <v>79</v>
      </c>
      <c r="E27" s="65" t="s">
        <v>80</v>
      </c>
      <c r="F27" s="62">
        <v>1.82</v>
      </c>
      <c r="G27" s="62"/>
      <c r="H27" s="62"/>
      <c r="I27" s="62"/>
      <c r="J27" s="62">
        <f t="shared" si="3"/>
        <v>1.82</v>
      </c>
      <c r="K27" s="67" t="s">
        <v>151</v>
      </c>
    </row>
    <row r="28" spans="1:11" ht="47.25">
      <c r="A28" s="55">
        <v>19</v>
      </c>
      <c r="B28" s="66" t="s">
        <v>81</v>
      </c>
      <c r="C28" s="65" t="s">
        <v>39</v>
      </c>
      <c r="D28" s="65" t="s">
        <v>82</v>
      </c>
      <c r="E28" s="65" t="s">
        <v>80</v>
      </c>
      <c r="F28" s="62">
        <v>0.36</v>
      </c>
      <c r="G28" s="62">
        <v>0.36</v>
      </c>
      <c r="H28" s="62"/>
      <c r="I28" s="62"/>
      <c r="J28" s="62">
        <f t="shared" si="3"/>
        <v>0</v>
      </c>
      <c r="K28" s="67" t="s">
        <v>139</v>
      </c>
    </row>
    <row r="29" spans="1:11" ht="31.5">
      <c r="A29" s="55">
        <v>20</v>
      </c>
      <c r="B29" s="66" t="s">
        <v>177</v>
      </c>
      <c r="C29" s="65" t="s">
        <v>39</v>
      </c>
      <c r="D29" s="65" t="s">
        <v>83</v>
      </c>
      <c r="E29" s="65" t="s">
        <v>80</v>
      </c>
      <c r="F29" s="62">
        <v>0.7</v>
      </c>
      <c r="G29" s="62">
        <v>0.45</v>
      </c>
      <c r="H29" s="62"/>
      <c r="I29" s="62"/>
      <c r="J29" s="62">
        <f t="shared" si="3"/>
        <v>0.24999999999999994</v>
      </c>
      <c r="K29" s="67" t="s">
        <v>176</v>
      </c>
    </row>
    <row r="30" spans="1:11" s="73" customFormat="1" ht="17.25" customHeight="1">
      <c r="A30" s="68" t="s">
        <v>55</v>
      </c>
      <c r="B30" s="69" t="s">
        <v>50</v>
      </c>
      <c r="C30" s="70"/>
      <c r="D30" s="52" t="s">
        <v>131</v>
      </c>
      <c r="E30" s="70"/>
      <c r="F30" s="71">
        <f>SUM(F31:F41)</f>
        <v>22.1</v>
      </c>
      <c r="G30" s="71">
        <f>SUM(G31:G41)</f>
        <v>10.15</v>
      </c>
      <c r="H30" s="71">
        <f>SUM(H31:H41)</f>
        <v>0</v>
      </c>
      <c r="I30" s="71"/>
      <c r="J30" s="71">
        <f>SUM(J31:J41)</f>
        <v>11.950000000000001</v>
      </c>
      <c r="K30" s="72"/>
    </row>
    <row r="31" spans="1:11" ht="31.5">
      <c r="A31" s="74">
        <v>1</v>
      </c>
      <c r="B31" s="66" t="s">
        <v>26</v>
      </c>
      <c r="C31" s="65" t="s">
        <v>45</v>
      </c>
      <c r="D31" s="65" t="s">
        <v>107</v>
      </c>
      <c r="E31" s="65" t="s">
        <v>46</v>
      </c>
      <c r="F31" s="75">
        <v>0.05</v>
      </c>
      <c r="G31" s="75"/>
      <c r="H31" s="75"/>
      <c r="I31" s="75"/>
      <c r="J31" s="75">
        <v>0.05</v>
      </c>
      <c r="K31" s="76" t="s">
        <v>123</v>
      </c>
    </row>
    <row r="32" spans="1:11" ht="47.25">
      <c r="A32" s="74">
        <v>2</v>
      </c>
      <c r="B32" s="66" t="s">
        <v>112</v>
      </c>
      <c r="C32" s="65" t="s">
        <v>45</v>
      </c>
      <c r="D32" s="58" t="s">
        <v>113</v>
      </c>
      <c r="E32" s="65" t="s">
        <v>103</v>
      </c>
      <c r="F32" s="75">
        <v>1.05</v>
      </c>
      <c r="G32" s="75">
        <v>0.95</v>
      </c>
      <c r="H32" s="75"/>
      <c r="I32" s="75"/>
      <c r="J32" s="77">
        <f t="shared" ref="J32:J41" si="4">F32-G32</f>
        <v>0.10000000000000009</v>
      </c>
      <c r="K32" s="67" t="s">
        <v>150</v>
      </c>
    </row>
    <row r="33" spans="1:11" ht="47.25">
      <c r="A33" s="74">
        <v>3</v>
      </c>
      <c r="B33" s="66" t="s">
        <v>110</v>
      </c>
      <c r="C33" s="65" t="s">
        <v>45</v>
      </c>
      <c r="D33" s="58" t="s">
        <v>148</v>
      </c>
      <c r="E33" s="65" t="s">
        <v>103</v>
      </c>
      <c r="F33" s="75">
        <v>5.95</v>
      </c>
      <c r="G33" s="75">
        <v>0.54</v>
      </c>
      <c r="H33" s="75"/>
      <c r="I33" s="75"/>
      <c r="J33" s="77">
        <f>F33-G33</f>
        <v>5.41</v>
      </c>
      <c r="K33" s="67" t="s">
        <v>150</v>
      </c>
    </row>
    <row r="34" spans="1:11" ht="47.25">
      <c r="A34" s="74">
        <v>4</v>
      </c>
      <c r="B34" s="66" t="s">
        <v>105</v>
      </c>
      <c r="C34" s="65" t="s">
        <v>45</v>
      </c>
      <c r="D34" s="58" t="s">
        <v>106</v>
      </c>
      <c r="E34" s="65" t="s">
        <v>103</v>
      </c>
      <c r="F34" s="75">
        <v>0.54</v>
      </c>
      <c r="G34" s="75">
        <v>0.34</v>
      </c>
      <c r="H34" s="75"/>
      <c r="I34" s="75"/>
      <c r="J34" s="77">
        <f t="shared" si="4"/>
        <v>0.2</v>
      </c>
      <c r="K34" s="67" t="s">
        <v>153</v>
      </c>
    </row>
    <row r="35" spans="1:11" ht="94.5">
      <c r="A35" s="74">
        <v>5</v>
      </c>
      <c r="B35" s="66" t="s">
        <v>108</v>
      </c>
      <c r="C35" s="65" t="s">
        <v>45</v>
      </c>
      <c r="D35" s="58" t="s">
        <v>114</v>
      </c>
      <c r="E35" s="65" t="s">
        <v>103</v>
      </c>
      <c r="F35" s="75">
        <v>0.48</v>
      </c>
      <c r="G35" s="75">
        <v>0.01</v>
      </c>
      <c r="H35" s="75"/>
      <c r="I35" s="75"/>
      <c r="J35" s="77">
        <f t="shared" si="4"/>
        <v>0.47</v>
      </c>
      <c r="K35" s="67" t="s">
        <v>198</v>
      </c>
    </row>
    <row r="36" spans="1:11" ht="47.25">
      <c r="A36" s="74">
        <v>6</v>
      </c>
      <c r="B36" s="66" t="s">
        <v>109</v>
      </c>
      <c r="C36" s="65" t="s">
        <v>45</v>
      </c>
      <c r="D36" s="58" t="s">
        <v>115</v>
      </c>
      <c r="E36" s="65" t="s">
        <v>103</v>
      </c>
      <c r="F36" s="75">
        <v>0.82</v>
      </c>
      <c r="G36" s="75"/>
      <c r="H36" s="75"/>
      <c r="I36" s="75"/>
      <c r="J36" s="77">
        <f t="shared" si="4"/>
        <v>0.82</v>
      </c>
      <c r="K36" s="67" t="s">
        <v>153</v>
      </c>
    </row>
    <row r="37" spans="1:11" ht="78.75">
      <c r="A37" s="74">
        <v>7</v>
      </c>
      <c r="B37" s="66" t="s">
        <v>89</v>
      </c>
      <c r="C37" s="65" t="s">
        <v>45</v>
      </c>
      <c r="D37" s="58" t="s">
        <v>91</v>
      </c>
      <c r="E37" s="65" t="s">
        <v>90</v>
      </c>
      <c r="F37" s="77">
        <v>5</v>
      </c>
      <c r="G37" s="75">
        <v>4.8600000000000003</v>
      </c>
      <c r="H37" s="75"/>
      <c r="I37" s="75"/>
      <c r="J37" s="77">
        <f t="shared" si="4"/>
        <v>0.13999999999999968</v>
      </c>
      <c r="K37" s="67" t="s">
        <v>199</v>
      </c>
    </row>
    <row r="38" spans="1:11" ht="78.75" customHeight="1">
      <c r="A38" s="74">
        <v>8</v>
      </c>
      <c r="B38" s="66" t="s">
        <v>94</v>
      </c>
      <c r="C38" s="65" t="s">
        <v>45</v>
      </c>
      <c r="D38" s="58" t="s">
        <v>91</v>
      </c>
      <c r="E38" s="65" t="s">
        <v>88</v>
      </c>
      <c r="F38" s="62">
        <v>0.35</v>
      </c>
      <c r="G38" s="62">
        <v>0.35</v>
      </c>
      <c r="H38" s="75"/>
      <c r="I38" s="75"/>
      <c r="J38" s="77">
        <f t="shared" si="4"/>
        <v>0</v>
      </c>
      <c r="K38" s="100" t="s">
        <v>155</v>
      </c>
    </row>
    <row r="39" spans="1:11" ht="31.5">
      <c r="A39" s="74">
        <v>9</v>
      </c>
      <c r="B39" s="66" t="s">
        <v>95</v>
      </c>
      <c r="C39" s="65" t="s">
        <v>45</v>
      </c>
      <c r="D39" s="58" t="s">
        <v>96</v>
      </c>
      <c r="E39" s="65" t="s">
        <v>88</v>
      </c>
      <c r="F39" s="62">
        <v>2.5</v>
      </c>
      <c r="G39" s="62">
        <v>1</v>
      </c>
      <c r="H39" s="75"/>
      <c r="I39" s="75"/>
      <c r="J39" s="77">
        <f t="shared" si="4"/>
        <v>1.5</v>
      </c>
      <c r="K39" s="101"/>
    </row>
    <row r="40" spans="1:11" ht="78.75">
      <c r="A40" s="74">
        <v>10</v>
      </c>
      <c r="B40" s="66" t="s">
        <v>97</v>
      </c>
      <c r="C40" s="65" t="s">
        <v>45</v>
      </c>
      <c r="D40" s="58" t="s">
        <v>98</v>
      </c>
      <c r="E40" s="65" t="s">
        <v>88</v>
      </c>
      <c r="F40" s="62">
        <v>3.36</v>
      </c>
      <c r="G40" s="62">
        <v>0.1</v>
      </c>
      <c r="H40" s="75"/>
      <c r="I40" s="75"/>
      <c r="J40" s="77">
        <f t="shared" si="4"/>
        <v>3.26</v>
      </c>
      <c r="K40" s="76" t="s">
        <v>156</v>
      </c>
    </row>
    <row r="41" spans="1:11" ht="78.75">
      <c r="A41" s="74">
        <v>11</v>
      </c>
      <c r="B41" s="66" t="s">
        <v>92</v>
      </c>
      <c r="C41" s="65" t="s">
        <v>45</v>
      </c>
      <c r="D41" s="58" t="s">
        <v>93</v>
      </c>
      <c r="E41" s="65" t="s">
        <v>88</v>
      </c>
      <c r="F41" s="62">
        <v>2</v>
      </c>
      <c r="G41" s="62">
        <v>2</v>
      </c>
      <c r="H41" s="75"/>
      <c r="I41" s="75"/>
      <c r="J41" s="77">
        <f t="shared" si="4"/>
        <v>0</v>
      </c>
      <c r="K41" s="67" t="s">
        <v>157</v>
      </c>
    </row>
    <row r="42" spans="1:11" s="73" customFormat="1">
      <c r="A42" s="68" t="s">
        <v>54</v>
      </c>
      <c r="B42" s="69" t="s">
        <v>84</v>
      </c>
      <c r="C42" s="70"/>
      <c r="D42" s="52" t="s">
        <v>66</v>
      </c>
      <c r="E42" s="70"/>
      <c r="F42" s="71">
        <f>F43</f>
        <v>0.79</v>
      </c>
      <c r="G42" s="71"/>
      <c r="H42" s="71"/>
      <c r="I42" s="71"/>
      <c r="J42" s="71">
        <f>J43</f>
        <v>0.79</v>
      </c>
      <c r="K42" s="72"/>
    </row>
    <row r="43" spans="1:11" ht="78.75">
      <c r="A43" s="74">
        <v>1</v>
      </c>
      <c r="B43" s="66" t="s">
        <v>86</v>
      </c>
      <c r="C43" s="65" t="s">
        <v>85</v>
      </c>
      <c r="D43" s="65" t="s">
        <v>87</v>
      </c>
      <c r="E43" s="65" t="s">
        <v>88</v>
      </c>
      <c r="F43" s="75">
        <v>0.79</v>
      </c>
      <c r="G43" s="75"/>
      <c r="H43" s="75"/>
      <c r="I43" s="75"/>
      <c r="J43" s="75">
        <v>0.79</v>
      </c>
      <c r="K43" s="76" t="s">
        <v>158</v>
      </c>
    </row>
    <row r="44" spans="1:11" s="73" customFormat="1">
      <c r="A44" s="68" t="s">
        <v>133</v>
      </c>
      <c r="B44" s="69" t="s">
        <v>51</v>
      </c>
      <c r="C44" s="70"/>
      <c r="D44" s="52" t="s">
        <v>78</v>
      </c>
      <c r="E44" s="70"/>
      <c r="F44" s="71">
        <f>SUM(F45:F47)</f>
        <v>41.94</v>
      </c>
      <c r="G44" s="71">
        <f t="shared" ref="G44:J44" si="5">SUM(G45:G47)</f>
        <v>0</v>
      </c>
      <c r="H44" s="71">
        <f t="shared" si="5"/>
        <v>15.3</v>
      </c>
      <c r="I44" s="71">
        <f t="shared" si="5"/>
        <v>1.23</v>
      </c>
      <c r="J44" s="71">
        <f t="shared" si="5"/>
        <v>25.409999999999997</v>
      </c>
      <c r="K44" s="78"/>
    </row>
    <row r="45" spans="1:11" ht="47.25">
      <c r="A45" s="74">
        <v>1</v>
      </c>
      <c r="B45" s="66" t="s">
        <v>13</v>
      </c>
      <c r="C45" s="65" t="s">
        <v>42</v>
      </c>
      <c r="D45" s="65" t="s">
        <v>69</v>
      </c>
      <c r="E45" s="65" t="s">
        <v>36</v>
      </c>
      <c r="F45" s="62">
        <v>0.91</v>
      </c>
      <c r="G45" s="62"/>
      <c r="H45" s="62"/>
      <c r="I45" s="62"/>
      <c r="J45" s="62">
        <f>F45-G45-H45</f>
        <v>0.91</v>
      </c>
      <c r="K45" s="67" t="s">
        <v>159</v>
      </c>
    </row>
    <row r="46" spans="1:11" ht="47.25">
      <c r="A46" s="74">
        <v>2</v>
      </c>
      <c r="B46" s="66" t="s">
        <v>240</v>
      </c>
      <c r="C46" s="65" t="s">
        <v>42</v>
      </c>
      <c r="D46" s="65" t="s">
        <v>241</v>
      </c>
      <c r="E46" s="65" t="s">
        <v>242</v>
      </c>
      <c r="F46" s="62">
        <v>1.23</v>
      </c>
      <c r="G46" s="62"/>
      <c r="H46" s="62"/>
      <c r="I46" s="62">
        <v>1.23</v>
      </c>
      <c r="J46" s="62"/>
      <c r="K46" s="67" t="s">
        <v>243</v>
      </c>
    </row>
    <row r="47" spans="1:11" ht="47.25">
      <c r="A47" s="74">
        <v>3</v>
      </c>
      <c r="B47" s="66" t="s">
        <v>5</v>
      </c>
      <c r="C47" s="65" t="s">
        <v>42</v>
      </c>
      <c r="D47" s="65" t="s">
        <v>70</v>
      </c>
      <c r="E47" s="65" t="s">
        <v>68</v>
      </c>
      <c r="F47" s="62">
        <v>39.799999999999997</v>
      </c>
      <c r="G47" s="62"/>
      <c r="H47" s="62">
        <v>15.3</v>
      </c>
      <c r="I47" s="62"/>
      <c r="J47" s="62">
        <f>F47-G47-H47</f>
        <v>24.499999999999996</v>
      </c>
      <c r="K47" s="67" t="s">
        <v>200</v>
      </c>
    </row>
    <row r="48" spans="1:11" s="73" customFormat="1">
      <c r="A48" s="68">
        <v>2</v>
      </c>
      <c r="B48" s="69" t="s">
        <v>52</v>
      </c>
      <c r="C48" s="70"/>
      <c r="D48" s="52" t="s">
        <v>250</v>
      </c>
      <c r="E48" s="70"/>
      <c r="F48" s="71">
        <f>F49+F60</f>
        <v>478.67</v>
      </c>
      <c r="G48" s="71">
        <f t="shared" ref="G48:J48" si="6">G49+G60</f>
        <v>182.88</v>
      </c>
      <c r="H48" s="71">
        <f t="shared" si="6"/>
        <v>0</v>
      </c>
      <c r="I48" s="71">
        <f t="shared" si="6"/>
        <v>0</v>
      </c>
      <c r="J48" s="71">
        <f t="shared" si="6"/>
        <v>295.79000000000002</v>
      </c>
      <c r="K48" s="79"/>
    </row>
    <row r="49" spans="1:11" s="73" customFormat="1">
      <c r="A49" s="68" t="s">
        <v>47</v>
      </c>
      <c r="B49" s="69" t="s">
        <v>53</v>
      </c>
      <c r="C49" s="70"/>
      <c r="D49" s="52" t="s">
        <v>134</v>
      </c>
      <c r="E49" s="70"/>
      <c r="F49" s="71">
        <f>SUM(F50:F59)</f>
        <v>279.36</v>
      </c>
      <c r="G49" s="71">
        <f t="shared" ref="G49:I49" si="7">SUM(G50:G59)</f>
        <v>59.32</v>
      </c>
      <c r="H49" s="71">
        <f t="shared" si="7"/>
        <v>0</v>
      </c>
      <c r="I49" s="71">
        <f t="shared" si="7"/>
        <v>0</v>
      </c>
      <c r="J49" s="71">
        <f>SUM(J50:J59)</f>
        <v>220.04000000000002</v>
      </c>
      <c r="K49" s="79"/>
    </row>
    <row r="50" spans="1:11" ht="42.75" customHeight="1">
      <c r="A50" s="74">
        <v>1</v>
      </c>
      <c r="B50" s="66" t="s">
        <v>124</v>
      </c>
      <c r="C50" s="64" t="s">
        <v>43</v>
      </c>
      <c r="D50" s="64" t="s">
        <v>71</v>
      </c>
      <c r="E50" s="64" t="s">
        <v>28</v>
      </c>
      <c r="F50" s="62">
        <v>10.4</v>
      </c>
      <c r="G50" s="62">
        <v>8.64</v>
      </c>
      <c r="H50" s="75"/>
      <c r="I50" s="75"/>
      <c r="J50" s="62">
        <f>F50-G50-H50</f>
        <v>1.7599999999999998</v>
      </c>
      <c r="K50" s="100" t="s">
        <v>160</v>
      </c>
    </row>
    <row r="51" spans="1:11" ht="42.75" customHeight="1">
      <c r="A51" s="74">
        <v>2</v>
      </c>
      <c r="B51" s="66" t="s">
        <v>125</v>
      </c>
      <c r="C51" s="64" t="s">
        <v>43</v>
      </c>
      <c r="D51" s="64" t="s">
        <v>71</v>
      </c>
      <c r="E51" s="64" t="s">
        <v>28</v>
      </c>
      <c r="F51" s="62">
        <v>8.59</v>
      </c>
      <c r="G51" s="62">
        <v>7.04</v>
      </c>
      <c r="H51" s="75"/>
      <c r="I51" s="75"/>
      <c r="J51" s="62">
        <f>F51-G51-H51</f>
        <v>1.5499999999999998</v>
      </c>
      <c r="K51" s="101"/>
    </row>
    <row r="52" spans="1:11" ht="78.75">
      <c r="A52" s="74">
        <v>3</v>
      </c>
      <c r="B52" s="66" t="s">
        <v>99</v>
      </c>
      <c r="C52" s="65" t="s">
        <v>43</v>
      </c>
      <c r="D52" s="65" t="s">
        <v>98</v>
      </c>
      <c r="E52" s="65" t="s">
        <v>100</v>
      </c>
      <c r="F52" s="62">
        <v>1.21</v>
      </c>
      <c r="G52" s="62"/>
      <c r="H52" s="75"/>
      <c r="I52" s="75"/>
      <c r="J52" s="62">
        <f t="shared" ref="J52:J59" si="8">F52-G52-H52</f>
        <v>1.21</v>
      </c>
      <c r="K52" s="80" t="s">
        <v>161</v>
      </c>
    </row>
    <row r="53" spans="1:11" ht="78.75">
      <c r="A53" s="74">
        <v>4</v>
      </c>
      <c r="B53" s="81" t="s">
        <v>14</v>
      </c>
      <c r="C53" s="74" t="s">
        <v>43</v>
      </c>
      <c r="D53" s="65" t="s">
        <v>72</v>
      </c>
      <c r="E53" s="65" t="s">
        <v>100</v>
      </c>
      <c r="F53" s="82">
        <v>19.2</v>
      </c>
      <c r="G53" s="75"/>
      <c r="H53" s="75"/>
      <c r="I53" s="75"/>
      <c r="J53" s="62">
        <f t="shared" si="8"/>
        <v>19.2</v>
      </c>
      <c r="K53" s="76" t="s">
        <v>162</v>
      </c>
    </row>
    <row r="54" spans="1:11" ht="78.75">
      <c r="A54" s="74">
        <v>5</v>
      </c>
      <c r="B54" s="66" t="s">
        <v>201</v>
      </c>
      <c r="C54" s="65" t="s">
        <v>43</v>
      </c>
      <c r="D54" s="65" t="s">
        <v>73</v>
      </c>
      <c r="E54" s="65" t="s">
        <v>126</v>
      </c>
      <c r="F54" s="82">
        <v>0.89</v>
      </c>
      <c r="G54" s="75">
        <v>0.63</v>
      </c>
      <c r="H54" s="75"/>
      <c r="I54" s="75"/>
      <c r="J54" s="62">
        <f t="shared" si="8"/>
        <v>0.26</v>
      </c>
      <c r="K54" s="76" t="s">
        <v>163</v>
      </c>
    </row>
    <row r="55" spans="1:11" ht="47.25">
      <c r="A55" s="74">
        <v>6</v>
      </c>
      <c r="B55" s="66" t="s">
        <v>35</v>
      </c>
      <c r="C55" s="65" t="s">
        <v>43</v>
      </c>
      <c r="D55" s="65" t="s">
        <v>74</v>
      </c>
      <c r="E55" s="65" t="s">
        <v>126</v>
      </c>
      <c r="F55" s="75">
        <v>2.92</v>
      </c>
      <c r="G55" s="75"/>
      <c r="H55" s="75"/>
      <c r="I55" s="75"/>
      <c r="J55" s="62">
        <f t="shared" si="8"/>
        <v>2.92</v>
      </c>
      <c r="K55" s="67" t="s">
        <v>127</v>
      </c>
    </row>
    <row r="56" spans="1:11" ht="94.5">
      <c r="A56" s="74">
        <v>7</v>
      </c>
      <c r="B56" s="66" t="s">
        <v>30</v>
      </c>
      <c r="C56" s="65" t="s">
        <v>43</v>
      </c>
      <c r="D56" s="65" t="s">
        <v>75</v>
      </c>
      <c r="E56" s="65" t="s">
        <v>36</v>
      </c>
      <c r="F56" s="62">
        <v>2.69</v>
      </c>
      <c r="G56" s="62">
        <v>2.69</v>
      </c>
      <c r="H56" s="62"/>
      <c r="I56" s="62"/>
      <c r="J56" s="62">
        <f t="shared" si="8"/>
        <v>0</v>
      </c>
      <c r="K56" s="67" t="s">
        <v>164</v>
      </c>
    </row>
    <row r="57" spans="1:11" ht="94.5">
      <c r="A57" s="74">
        <v>8</v>
      </c>
      <c r="B57" s="83" t="s">
        <v>165</v>
      </c>
      <c r="C57" s="65" t="s">
        <v>43</v>
      </c>
      <c r="D57" s="65" t="s">
        <v>18</v>
      </c>
      <c r="E57" s="65" t="s">
        <v>103</v>
      </c>
      <c r="F57" s="84">
        <v>177</v>
      </c>
      <c r="G57" s="62"/>
      <c r="H57" s="62"/>
      <c r="I57" s="62"/>
      <c r="J57" s="62">
        <f t="shared" si="8"/>
        <v>177</v>
      </c>
      <c r="K57" s="67" t="s">
        <v>166</v>
      </c>
    </row>
    <row r="58" spans="1:11" ht="78.75">
      <c r="A58" s="74">
        <v>9</v>
      </c>
      <c r="B58" s="83" t="s">
        <v>104</v>
      </c>
      <c r="C58" s="65" t="s">
        <v>43</v>
      </c>
      <c r="D58" s="65" t="s">
        <v>18</v>
      </c>
      <c r="E58" s="65" t="s">
        <v>103</v>
      </c>
      <c r="F58" s="84">
        <v>11.46</v>
      </c>
      <c r="G58" s="62">
        <v>0.32</v>
      </c>
      <c r="H58" s="62"/>
      <c r="I58" s="62"/>
      <c r="J58" s="62">
        <f t="shared" si="8"/>
        <v>11.14</v>
      </c>
      <c r="K58" s="67" t="s">
        <v>167</v>
      </c>
    </row>
    <row r="59" spans="1:11" ht="31.5">
      <c r="A59" s="74">
        <v>10</v>
      </c>
      <c r="B59" s="66" t="s">
        <v>7</v>
      </c>
      <c r="C59" s="65" t="s">
        <v>43</v>
      </c>
      <c r="D59" s="65" t="s">
        <v>18</v>
      </c>
      <c r="E59" s="65" t="s">
        <v>29</v>
      </c>
      <c r="F59" s="62">
        <v>45</v>
      </c>
      <c r="G59" s="62">
        <v>40</v>
      </c>
      <c r="H59" s="62"/>
      <c r="I59" s="62"/>
      <c r="J59" s="62">
        <f t="shared" si="8"/>
        <v>5</v>
      </c>
      <c r="K59" s="67" t="s">
        <v>24</v>
      </c>
    </row>
    <row r="60" spans="1:11" s="73" customFormat="1">
      <c r="A60" s="68" t="s">
        <v>57</v>
      </c>
      <c r="B60" s="69" t="s">
        <v>58</v>
      </c>
      <c r="C60" s="70"/>
      <c r="D60" s="52" t="s">
        <v>134</v>
      </c>
      <c r="E60" s="70"/>
      <c r="F60" s="71">
        <f>SUM(F61:F70)</f>
        <v>199.31</v>
      </c>
      <c r="G60" s="71">
        <f t="shared" ref="G60:J60" si="9">SUM(G61:G70)</f>
        <v>123.56</v>
      </c>
      <c r="H60" s="71">
        <f t="shared" si="9"/>
        <v>0</v>
      </c>
      <c r="I60" s="71">
        <f t="shared" si="9"/>
        <v>0</v>
      </c>
      <c r="J60" s="71">
        <f t="shared" si="9"/>
        <v>75.75</v>
      </c>
      <c r="K60" s="72"/>
    </row>
    <row r="61" spans="1:11" ht="31.5">
      <c r="A61" s="74">
        <v>1</v>
      </c>
      <c r="B61" s="66" t="s">
        <v>6</v>
      </c>
      <c r="C61" s="65" t="s">
        <v>38</v>
      </c>
      <c r="D61" s="65" t="s">
        <v>19</v>
      </c>
      <c r="E61" s="65" t="s">
        <v>29</v>
      </c>
      <c r="F61" s="62">
        <v>47.6</v>
      </c>
      <c r="G61" s="84">
        <v>30</v>
      </c>
      <c r="H61" s="62"/>
      <c r="I61" s="62"/>
      <c r="J61" s="62">
        <f>F61-G61-H61</f>
        <v>17.600000000000001</v>
      </c>
      <c r="K61" s="67" t="s">
        <v>24</v>
      </c>
    </row>
    <row r="62" spans="1:11" ht="47.25">
      <c r="A62" s="74">
        <v>2</v>
      </c>
      <c r="B62" s="66" t="s">
        <v>168</v>
      </c>
      <c r="C62" s="65" t="s">
        <v>38</v>
      </c>
      <c r="D62" s="65" t="s">
        <v>169</v>
      </c>
      <c r="E62" s="65" t="s">
        <v>36</v>
      </c>
      <c r="F62" s="62">
        <v>0.57999999999999996</v>
      </c>
      <c r="G62" s="62"/>
      <c r="H62" s="62"/>
      <c r="I62" s="62"/>
      <c r="J62" s="62">
        <f t="shared" ref="J62:J70" si="10">F62-G62-H62</f>
        <v>0.57999999999999996</v>
      </c>
      <c r="K62" s="67" t="s">
        <v>122</v>
      </c>
    </row>
    <row r="63" spans="1:11" ht="47.25">
      <c r="A63" s="74">
        <v>3</v>
      </c>
      <c r="B63" s="66" t="s">
        <v>31</v>
      </c>
      <c r="C63" s="65" t="s">
        <v>38</v>
      </c>
      <c r="D63" s="65" t="s">
        <v>76</v>
      </c>
      <c r="E63" s="65" t="s">
        <v>36</v>
      </c>
      <c r="F63" s="62">
        <v>2.93</v>
      </c>
      <c r="G63" s="62">
        <v>2.93</v>
      </c>
      <c r="H63" s="62"/>
      <c r="I63" s="62"/>
      <c r="J63" s="62">
        <f t="shared" si="10"/>
        <v>0</v>
      </c>
      <c r="K63" s="67" t="s">
        <v>122</v>
      </c>
    </row>
    <row r="64" spans="1:11" ht="88.5" customHeight="1">
      <c r="A64" s="74">
        <v>4</v>
      </c>
      <c r="B64" s="85" t="s">
        <v>231</v>
      </c>
      <c r="C64" s="57" t="s">
        <v>38</v>
      </c>
      <c r="D64" s="57" t="s">
        <v>15</v>
      </c>
      <c r="E64" s="57" t="s">
        <v>128</v>
      </c>
      <c r="F64" s="62">
        <v>1.7</v>
      </c>
      <c r="G64" s="62">
        <v>1.7</v>
      </c>
      <c r="H64" s="62"/>
      <c r="I64" s="62"/>
      <c r="J64" s="62">
        <f t="shared" ref="J64" si="11">F64-G64-H64</f>
        <v>0</v>
      </c>
      <c r="K64" s="63" t="s">
        <v>232</v>
      </c>
    </row>
    <row r="65" spans="1:11" ht="78.75">
      <c r="A65" s="74">
        <v>5</v>
      </c>
      <c r="B65" s="85" t="s">
        <v>170</v>
      </c>
      <c r="C65" s="57" t="s">
        <v>38</v>
      </c>
      <c r="D65" s="57" t="s">
        <v>15</v>
      </c>
      <c r="E65" s="57" t="s">
        <v>128</v>
      </c>
      <c r="F65" s="62">
        <v>9.1999999999999993</v>
      </c>
      <c r="G65" s="62">
        <v>8.6300000000000008</v>
      </c>
      <c r="H65" s="62"/>
      <c r="I65" s="62"/>
      <c r="J65" s="62">
        <f t="shared" si="10"/>
        <v>0.56999999999999851</v>
      </c>
      <c r="K65" s="63" t="s">
        <v>171</v>
      </c>
    </row>
    <row r="66" spans="1:11" ht="78.75">
      <c r="A66" s="74">
        <v>6</v>
      </c>
      <c r="B66" s="66" t="s">
        <v>214</v>
      </c>
      <c r="C66" s="65" t="s">
        <v>38</v>
      </c>
      <c r="D66" s="57" t="s">
        <v>209</v>
      </c>
      <c r="E66" s="65" t="s">
        <v>29</v>
      </c>
      <c r="F66" s="62">
        <v>3.2</v>
      </c>
      <c r="G66" s="62"/>
      <c r="H66" s="62"/>
      <c r="I66" s="62"/>
      <c r="J66" s="62">
        <v>3.2</v>
      </c>
      <c r="K66" s="63" t="s">
        <v>210</v>
      </c>
    </row>
    <row r="67" spans="1:11" ht="47.25">
      <c r="A67" s="74">
        <v>7</v>
      </c>
      <c r="B67" s="66" t="s">
        <v>2</v>
      </c>
      <c r="C67" s="65" t="s">
        <v>38</v>
      </c>
      <c r="D67" s="65" t="s">
        <v>15</v>
      </c>
      <c r="E67" s="65" t="s">
        <v>29</v>
      </c>
      <c r="F67" s="62">
        <v>28.1</v>
      </c>
      <c r="G67" s="62">
        <v>27.3</v>
      </c>
      <c r="H67" s="62"/>
      <c r="I67" s="62"/>
      <c r="J67" s="62">
        <f t="shared" si="10"/>
        <v>0.80000000000000071</v>
      </c>
      <c r="K67" s="67" t="s">
        <v>22</v>
      </c>
    </row>
    <row r="68" spans="1:11" ht="47.25">
      <c r="A68" s="74">
        <v>8</v>
      </c>
      <c r="B68" s="85" t="s">
        <v>8</v>
      </c>
      <c r="C68" s="65" t="s">
        <v>38</v>
      </c>
      <c r="D68" s="57" t="s">
        <v>16</v>
      </c>
      <c r="E68" s="65" t="s">
        <v>29</v>
      </c>
      <c r="F68" s="62">
        <v>36</v>
      </c>
      <c r="G68" s="62">
        <v>20</v>
      </c>
      <c r="H68" s="62"/>
      <c r="I68" s="62"/>
      <c r="J68" s="62">
        <f t="shared" si="10"/>
        <v>16</v>
      </c>
      <c r="K68" s="67" t="s">
        <v>23</v>
      </c>
    </row>
    <row r="69" spans="1:11" ht="47.25">
      <c r="A69" s="74">
        <v>9</v>
      </c>
      <c r="B69" s="66" t="s">
        <v>9</v>
      </c>
      <c r="C69" s="65" t="s">
        <v>38</v>
      </c>
      <c r="D69" s="65" t="s">
        <v>17</v>
      </c>
      <c r="E69" s="65" t="s">
        <v>29</v>
      </c>
      <c r="F69" s="62">
        <v>38</v>
      </c>
      <c r="G69" s="62">
        <v>18</v>
      </c>
      <c r="H69" s="62"/>
      <c r="I69" s="62"/>
      <c r="J69" s="62">
        <f t="shared" si="10"/>
        <v>20</v>
      </c>
      <c r="K69" s="67" t="s">
        <v>23</v>
      </c>
    </row>
    <row r="70" spans="1:11" ht="47.25">
      <c r="A70" s="74">
        <v>10</v>
      </c>
      <c r="B70" s="86" t="s">
        <v>10</v>
      </c>
      <c r="C70" s="65" t="s">
        <v>38</v>
      </c>
      <c r="D70" s="87" t="s">
        <v>17</v>
      </c>
      <c r="E70" s="65" t="s">
        <v>29</v>
      </c>
      <c r="F70" s="62">
        <v>32</v>
      </c>
      <c r="G70" s="62">
        <v>15</v>
      </c>
      <c r="H70" s="62"/>
      <c r="I70" s="62"/>
      <c r="J70" s="62">
        <f t="shared" si="10"/>
        <v>17</v>
      </c>
      <c r="K70" s="67" t="s">
        <v>23</v>
      </c>
    </row>
    <row r="71" spans="1:11" s="73" customFormat="1">
      <c r="A71" s="68">
        <v>3</v>
      </c>
      <c r="B71" s="88" t="s">
        <v>59</v>
      </c>
      <c r="C71" s="89"/>
      <c r="D71" s="52" t="s">
        <v>66</v>
      </c>
      <c r="E71" s="89"/>
      <c r="F71" s="71">
        <f>F72</f>
        <v>14.43</v>
      </c>
      <c r="G71" s="71"/>
      <c r="H71" s="71">
        <f t="shared" ref="H71:H80" si="12">H72</f>
        <v>14.43</v>
      </c>
      <c r="I71" s="71"/>
      <c r="J71" s="71"/>
      <c r="K71" s="90"/>
    </row>
    <row r="72" spans="1:11" ht="110.25">
      <c r="A72" s="74">
        <v>1</v>
      </c>
      <c r="B72" s="66" t="s">
        <v>4</v>
      </c>
      <c r="C72" s="65" t="s">
        <v>41</v>
      </c>
      <c r="D72" s="65" t="s">
        <v>69</v>
      </c>
      <c r="E72" s="65" t="s">
        <v>129</v>
      </c>
      <c r="F72" s="62">
        <v>14.43</v>
      </c>
      <c r="G72" s="62"/>
      <c r="H72" s="62">
        <v>14.43</v>
      </c>
      <c r="I72" s="62"/>
      <c r="J72" s="62"/>
      <c r="K72" s="67" t="s">
        <v>194</v>
      </c>
    </row>
    <row r="73" spans="1:11" s="73" customFormat="1">
      <c r="A73" s="68">
        <v>4</v>
      </c>
      <c r="B73" s="69" t="s">
        <v>61</v>
      </c>
      <c r="C73" s="89"/>
      <c r="D73" s="52" t="s">
        <v>259</v>
      </c>
      <c r="E73" s="89"/>
      <c r="F73" s="71">
        <f>SUM(F74:F79)</f>
        <v>248.46</v>
      </c>
      <c r="G73" s="71">
        <f>SUM(G74:G79)</f>
        <v>7.4</v>
      </c>
      <c r="H73" s="71">
        <f>SUM(H74:H79)</f>
        <v>10</v>
      </c>
      <c r="I73" s="71"/>
      <c r="J73" s="71">
        <f>SUM(J74:J79)</f>
        <v>231.05999999999997</v>
      </c>
      <c r="K73" s="90"/>
    </row>
    <row r="74" spans="1:11" ht="63">
      <c r="A74" s="74">
        <v>1</v>
      </c>
      <c r="B74" s="85" t="s">
        <v>12</v>
      </c>
      <c r="C74" s="57" t="s">
        <v>44</v>
      </c>
      <c r="D74" s="57" t="s">
        <v>77</v>
      </c>
      <c r="E74" s="57" t="s">
        <v>29</v>
      </c>
      <c r="F74" s="82">
        <v>42</v>
      </c>
      <c r="G74" s="62">
        <v>2.2000000000000002</v>
      </c>
      <c r="H74" s="91"/>
      <c r="I74" s="91"/>
      <c r="J74" s="62">
        <f t="shared" ref="J74:J79" si="13">F74-G74-H74</f>
        <v>39.799999999999997</v>
      </c>
      <c r="K74" s="92" t="s">
        <v>172</v>
      </c>
    </row>
    <row r="75" spans="1:11" ht="78.75">
      <c r="A75" s="74">
        <v>2</v>
      </c>
      <c r="B75" s="85" t="s">
        <v>195</v>
      </c>
      <c r="C75" s="57" t="s">
        <v>44</v>
      </c>
      <c r="D75" s="57" t="s">
        <v>196</v>
      </c>
      <c r="E75" s="57" t="s">
        <v>126</v>
      </c>
      <c r="F75" s="82">
        <v>6.1</v>
      </c>
      <c r="G75" s="62">
        <v>5.2</v>
      </c>
      <c r="H75" s="91"/>
      <c r="I75" s="91"/>
      <c r="J75" s="62">
        <f t="shared" si="13"/>
        <v>0.89999999999999947</v>
      </c>
      <c r="K75" s="92" t="s">
        <v>160</v>
      </c>
    </row>
    <row r="76" spans="1:11" ht="93" customHeight="1">
      <c r="A76" s="74">
        <v>3</v>
      </c>
      <c r="B76" s="85" t="s">
        <v>224</v>
      </c>
      <c r="C76" s="57" t="s">
        <v>44</v>
      </c>
      <c r="D76" s="93" t="s">
        <v>204</v>
      </c>
      <c r="E76" s="57" t="s">
        <v>128</v>
      </c>
      <c r="F76" s="82">
        <v>28.51</v>
      </c>
      <c r="G76" s="62"/>
      <c r="H76" s="94">
        <v>10</v>
      </c>
      <c r="I76" s="94"/>
      <c r="J76" s="62">
        <f t="shared" si="13"/>
        <v>18.510000000000002</v>
      </c>
      <c r="K76" s="92" t="s">
        <v>225</v>
      </c>
    </row>
    <row r="77" spans="1:11" ht="93" customHeight="1">
      <c r="A77" s="74">
        <v>4</v>
      </c>
      <c r="B77" s="85" t="s">
        <v>227</v>
      </c>
      <c r="C77" s="57" t="s">
        <v>44</v>
      </c>
      <c r="D77" s="93" t="s">
        <v>204</v>
      </c>
      <c r="E77" s="57" t="s">
        <v>128</v>
      </c>
      <c r="F77" s="82">
        <v>137.37</v>
      </c>
      <c r="G77" s="62"/>
      <c r="H77" s="94"/>
      <c r="I77" s="94"/>
      <c r="J77" s="62">
        <f t="shared" ref="J77" si="14">F77-G77-H77</f>
        <v>137.37</v>
      </c>
      <c r="K77" s="92" t="s">
        <v>228</v>
      </c>
    </row>
    <row r="78" spans="1:11" ht="50.25" customHeight="1">
      <c r="A78" s="74">
        <v>5</v>
      </c>
      <c r="B78" s="85" t="s">
        <v>203</v>
      </c>
      <c r="C78" s="57" t="s">
        <v>44</v>
      </c>
      <c r="D78" s="93" t="s">
        <v>204</v>
      </c>
      <c r="E78" s="57" t="s">
        <v>29</v>
      </c>
      <c r="F78" s="82">
        <v>0.98</v>
      </c>
      <c r="G78" s="62"/>
      <c r="H78" s="91"/>
      <c r="I78" s="91"/>
      <c r="J78" s="62">
        <f t="shared" si="13"/>
        <v>0.98</v>
      </c>
      <c r="K78" s="67" t="s">
        <v>206</v>
      </c>
    </row>
    <row r="79" spans="1:11" ht="51" customHeight="1">
      <c r="A79" s="74">
        <v>6</v>
      </c>
      <c r="B79" s="85" t="s">
        <v>205</v>
      </c>
      <c r="C79" s="57" t="s">
        <v>44</v>
      </c>
      <c r="D79" s="93" t="s">
        <v>204</v>
      </c>
      <c r="E79" s="57" t="s">
        <v>29</v>
      </c>
      <c r="F79" s="82">
        <v>33.5</v>
      </c>
      <c r="G79" s="62"/>
      <c r="H79" s="91"/>
      <c r="I79" s="91"/>
      <c r="J79" s="62">
        <f t="shared" si="13"/>
        <v>33.5</v>
      </c>
      <c r="K79" s="67" t="s">
        <v>206</v>
      </c>
    </row>
    <row r="80" spans="1:11" s="73" customFormat="1">
      <c r="A80" s="68">
        <v>5</v>
      </c>
      <c r="B80" s="88" t="s">
        <v>101</v>
      </c>
      <c r="C80" s="89"/>
      <c r="D80" s="52" t="s">
        <v>66</v>
      </c>
      <c r="E80" s="89"/>
      <c r="F80" s="71">
        <f>F81</f>
        <v>1</v>
      </c>
      <c r="G80" s="71"/>
      <c r="H80" s="71">
        <f t="shared" si="12"/>
        <v>0</v>
      </c>
      <c r="I80" s="71"/>
      <c r="J80" s="71">
        <f>J81</f>
        <v>1</v>
      </c>
      <c r="K80" s="90"/>
    </row>
    <row r="81" spans="1:11" ht="63">
      <c r="A81" s="74">
        <v>1</v>
      </c>
      <c r="B81" s="66" t="s">
        <v>174</v>
      </c>
      <c r="C81" s="65" t="s">
        <v>102</v>
      </c>
      <c r="D81" s="65" t="s">
        <v>175</v>
      </c>
      <c r="E81" s="65" t="s">
        <v>100</v>
      </c>
      <c r="F81" s="62">
        <v>1</v>
      </c>
      <c r="G81" s="62"/>
      <c r="H81" s="62"/>
      <c r="I81" s="62"/>
      <c r="J81" s="62">
        <v>1</v>
      </c>
      <c r="K81" s="67" t="s">
        <v>173</v>
      </c>
    </row>
    <row r="82" spans="1:11" s="73" customFormat="1">
      <c r="A82" s="109" t="s">
        <v>62</v>
      </c>
      <c r="B82" s="110"/>
      <c r="C82" s="68"/>
      <c r="D82" s="52" t="s">
        <v>257</v>
      </c>
      <c r="E82" s="68"/>
      <c r="F82" s="71">
        <f>F8+F48+F71+F80+F73</f>
        <v>1085.1849999999999</v>
      </c>
      <c r="G82" s="71">
        <f t="shared" ref="G82:J82" si="15">G8+G48+G71+G80+G73</f>
        <v>296.35000000000002</v>
      </c>
      <c r="H82" s="71">
        <f t="shared" si="15"/>
        <v>78.22</v>
      </c>
      <c r="I82" s="71">
        <f t="shared" si="15"/>
        <v>2.4299999999999997</v>
      </c>
      <c r="J82" s="71">
        <f t="shared" si="15"/>
        <v>708.18499999999995</v>
      </c>
      <c r="K82" s="95"/>
    </row>
  </sheetData>
  <autoFilter ref="A7:K82"/>
  <mergeCells count="22">
    <mergeCell ref="A3:K3"/>
    <mergeCell ref="A82:B82"/>
    <mergeCell ref="A1:B1"/>
    <mergeCell ref="A2:K2"/>
    <mergeCell ref="A5:A6"/>
    <mergeCell ref="B5:B6"/>
    <mergeCell ref="C5:C6"/>
    <mergeCell ref="D5:D6"/>
    <mergeCell ref="E5:E6"/>
    <mergeCell ref="F5:F6"/>
    <mergeCell ref="G5:G6"/>
    <mergeCell ref="B22:B23"/>
    <mergeCell ref="K22:K23"/>
    <mergeCell ref="B20:B21"/>
    <mergeCell ref="K25:K26"/>
    <mergeCell ref="K38:K39"/>
    <mergeCell ref="K50:K51"/>
    <mergeCell ref="B25:B26"/>
    <mergeCell ref="H5:H6"/>
    <mergeCell ref="J5:J6"/>
    <mergeCell ref="K5:K6"/>
    <mergeCell ref="I5:I6"/>
  </mergeCells>
  <conditionalFormatting sqref="K71 K65">
    <cfRule type="expression" dxfId="6" priority="7" stopIfTrue="1">
      <formula>COUNTIF(#REF!,"*=sumifs*")</formula>
    </cfRule>
  </conditionalFormatting>
  <conditionalFormatting sqref="K80">
    <cfRule type="expression" dxfId="5" priority="6" stopIfTrue="1">
      <formula>COUNTIF(#REF!,"*=sumifs*")</formula>
    </cfRule>
  </conditionalFormatting>
  <conditionalFormatting sqref="K73">
    <cfRule type="expression" dxfId="4" priority="5" stopIfTrue="1">
      <formula>COUNTIF(#REF!,"*=sumifs*")</formula>
    </cfRule>
  </conditionalFormatting>
  <conditionalFormatting sqref="K20">
    <cfRule type="expression" dxfId="3" priority="4" stopIfTrue="1">
      <formula>COUNTIF(#REF!,"*=sumifs*")</formula>
    </cfRule>
  </conditionalFormatting>
  <conditionalFormatting sqref="K21">
    <cfRule type="expression" dxfId="2" priority="3" stopIfTrue="1">
      <formula>COUNTIF(#REF!,"*=sumifs*")</formula>
    </cfRule>
  </conditionalFormatting>
  <conditionalFormatting sqref="K64">
    <cfRule type="expression" dxfId="1" priority="1" stopIfTrue="1">
      <formula>COUNTIF(#REF!,"*=sumifs*")</formula>
    </cfRule>
  </conditionalFormatting>
  <conditionalFormatting sqref="K66">
    <cfRule type="expression" dxfId="0" priority="2" stopIfTrue="1">
      <formula>COUNTIF(#REF!,"*=sumifs*")</formula>
    </cfRule>
  </conditionalFormatting>
  <pageMargins left="0.42" right="0.27559055118110198" top="0.55118110236220497" bottom="0.66929133858267698" header="0.31496062992126" footer="0.31496062992126"/>
  <pageSetup paperSize="9" scale="65" orientation="portrait" r:id="rId1"/>
  <headerFooter>
    <oddFooter>&amp;C&amp;P</oddFooter>
  </headerFooter>
</worksheet>
</file>

<file path=xl/worksheets/sheet2.xml><?xml version="1.0" encoding="utf-8"?>
<worksheet xmlns="http://schemas.openxmlformats.org/spreadsheetml/2006/main" xmlns:r="http://schemas.openxmlformats.org/officeDocument/2006/relationships">
  <dimension ref="A1:K66"/>
  <sheetViews>
    <sheetView tabSelected="1" topLeftCell="A10" zoomScale="80" zoomScaleNormal="80" workbookViewId="0">
      <selection activeCell="A3" sqref="A3:K3"/>
    </sheetView>
  </sheetViews>
  <sheetFormatPr defaultColWidth="9.140625" defaultRowHeight="15.75"/>
  <cols>
    <col min="1" max="1" width="6.42578125" style="4" bestFit="1" customWidth="1"/>
    <col min="2" max="2" width="37.85546875" style="4" customWidth="1"/>
    <col min="3" max="3" width="8.85546875" style="1" bestFit="1" customWidth="1"/>
    <col min="4" max="4" width="19.7109375" style="1" customWidth="1"/>
    <col min="5" max="5" width="15.85546875" style="1" customWidth="1"/>
    <col min="6" max="6" width="11" style="2" customWidth="1"/>
    <col min="7" max="7" width="10.42578125" style="2" customWidth="1"/>
    <col min="8" max="9" width="12" style="2" customWidth="1"/>
    <col min="10" max="10" width="9.7109375" style="2" customWidth="1"/>
    <col min="11" max="11" width="44.42578125" style="3" hidden="1" customWidth="1"/>
    <col min="12" max="16384" width="9.140625" style="4"/>
  </cols>
  <sheetData>
    <row r="1" spans="1:11">
      <c r="A1" s="126" t="s">
        <v>262</v>
      </c>
      <c r="B1" s="126"/>
    </row>
    <row r="2" spans="1:11" ht="45" customHeight="1">
      <c r="A2" s="127" t="s">
        <v>268</v>
      </c>
      <c r="B2" s="127"/>
      <c r="C2" s="127"/>
      <c r="D2" s="127"/>
      <c r="E2" s="127"/>
      <c r="F2" s="127"/>
      <c r="G2" s="127"/>
      <c r="H2" s="127"/>
      <c r="I2" s="127"/>
      <c r="J2" s="127"/>
      <c r="K2" s="127"/>
    </row>
    <row r="3" spans="1:11" ht="30.75" customHeight="1">
      <c r="A3" s="134" t="s">
        <v>278</v>
      </c>
      <c r="B3" s="135"/>
      <c r="C3" s="135"/>
      <c r="D3" s="135"/>
      <c r="E3" s="135"/>
      <c r="F3" s="135"/>
      <c r="G3" s="135"/>
      <c r="H3" s="135"/>
      <c r="I3" s="135"/>
      <c r="J3" s="135"/>
      <c r="K3" s="135"/>
    </row>
    <row r="4" spans="1:11" ht="36" customHeight="1">
      <c r="A4" s="128" t="s">
        <v>0</v>
      </c>
      <c r="B4" s="129" t="s">
        <v>120</v>
      </c>
      <c r="C4" s="117" t="s">
        <v>37</v>
      </c>
      <c r="D4" s="117" t="s">
        <v>11</v>
      </c>
      <c r="E4" s="117" t="s">
        <v>267</v>
      </c>
      <c r="F4" s="117" t="s">
        <v>1</v>
      </c>
      <c r="G4" s="117" t="s">
        <v>145</v>
      </c>
      <c r="H4" s="117" t="s">
        <v>144</v>
      </c>
      <c r="I4" s="117" t="s">
        <v>239</v>
      </c>
      <c r="J4" s="117" t="s">
        <v>20</v>
      </c>
      <c r="K4" s="120" t="s">
        <v>130</v>
      </c>
    </row>
    <row r="5" spans="1:11" ht="36" customHeight="1">
      <c r="A5" s="118"/>
      <c r="B5" s="129"/>
      <c r="C5" s="119"/>
      <c r="D5" s="119"/>
      <c r="E5" s="119"/>
      <c r="F5" s="118"/>
      <c r="G5" s="118"/>
      <c r="H5" s="118"/>
      <c r="I5" s="118"/>
      <c r="J5" s="119"/>
      <c r="K5" s="121"/>
    </row>
    <row r="6" spans="1:11" ht="18.75" customHeight="1">
      <c r="A6" s="5" t="s">
        <v>182</v>
      </c>
      <c r="B6" s="6" t="s">
        <v>183</v>
      </c>
      <c r="C6" s="7"/>
      <c r="D6" s="7" t="s">
        <v>255</v>
      </c>
      <c r="E6" s="7"/>
      <c r="F6" s="8">
        <f>F7</f>
        <v>163.96</v>
      </c>
      <c r="G6" s="8">
        <f t="shared" ref="G6:J6" si="0">G7</f>
        <v>5.5699999999999994</v>
      </c>
      <c r="H6" s="8">
        <f t="shared" si="0"/>
        <v>58.75</v>
      </c>
      <c r="I6" s="8"/>
      <c r="J6" s="8">
        <f t="shared" si="0"/>
        <v>99.64</v>
      </c>
      <c r="K6" s="9"/>
    </row>
    <row r="7" spans="1:11" ht="18.75" customHeight="1">
      <c r="A7" s="5" t="s">
        <v>56</v>
      </c>
      <c r="B7" s="10" t="s">
        <v>184</v>
      </c>
      <c r="C7" s="7"/>
      <c r="D7" s="7" t="s">
        <v>255</v>
      </c>
      <c r="E7" s="7"/>
      <c r="F7" s="8">
        <f>SUM(F8:F11)</f>
        <v>163.96</v>
      </c>
      <c r="G7" s="8">
        <f t="shared" ref="G7:J7" si="1">SUM(G8:G11)</f>
        <v>5.5699999999999994</v>
      </c>
      <c r="H7" s="8">
        <f t="shared" si="1"/>
        <v>58.75</v>
      </c>
      <c r="I7" s="8"/>
      <c r="J7" s="8">
        <f t="shared" si="1"/>
        <v>99.64</v>
      </c>
      <c r="K7" s="9"/>
    </row>
    <row r="8" spans="1:11" ht="63">
      <c r="A8" s="11">
        <v>1</v>
      </c>
      <c r="B8" s="12" t="s">
        <v>215</v>
      </c>
      <c r="C8" s="13" t="s">
        <v>185</v>
      </c>
      <c r="D8" s="65" t="s">
        <v>277</v>
      </c>
      <c r="E8" s="13" t="s">
        <v>33</v>
      </c>
      <c r="F8" s="14">
        <v>18.71</v>
      </c>
      <c r="G8" s="14">
        <v>1.87</v>
      </c>
      <c r="H8" s="14">
        <v>16.75</v>
      </c>
      <c r="I8" s="14"/>
      <c r="J8" s="14">
        <f>F8-G8-H8</f>
        <v>8.9999999999999858E-2</v>
      </c>
      <c r="K8" s="15" t="s">
        <v>216</v>
      </c>
    </row>
    <row r="9" spans="1:11" ht="47.25">
      <c r="A9" s="11">
        <v>2</v>
      </c>
      <c r="B9" s="12" t="s">
        <v>142</v>
      </c>
      <c r="C9" s="13" t="s">
        <v>185</v>
      </c>
      <c r="D9" s="13" t="s">
        <v>69</v>
      </c>
      <c r="E9" s="13" t="s">
        <v>33</v>
      </c>
      <c r="F9" s="14">
        <v>47.5</v>
      </c>
      <c r="G9" s="14">
        <v>3.4</v>
      </c>
      <c r="H9" s="14"/>
      <c r="I9" s="14"/>
      <c r="J9" s="14">
        <f>F9-G9-H9</f>
        <v>44.1</v>
      </c>
      <c r="K9" s="15" t="s">
        <v>141</v>
      </c>
    </row>
    <row r="10" spans="1:11" ht="94.5">
      <c r="A10" s="11">
        <v>3</v>
      </c>
      <c r="B10" s="12" t="s">
        <v>27</v>
      </c>
      <c r="C10" s="13" t="s">
        <v>185</v>
      </c>
      <c r="D10" s="13" t="s">
        <v>69</v>
      </c>
      <c r="E10" s="13" t="s">
        <v>33</v>
      </c>
      <c r="F10" s="14">
        <v>80.75</v>
      </c>
      <c r="G10" s="14">
        <v>0.3</v>
      </c>
      <c r="H10" s="14">
        <v>25</v>
      </c>
      <c r="I10" s="14"/>
      <c r="J10" s="14">
        <f>F10-G10-H10</f>
        <v>55.45</v>
      </c>
      <c r="K10" s="15" t="s">
        <v>202</v>
      </c>
    </row>
    <row r="11" spans="1:11" ht="31.5">
      <c r="A11" s="11">
        <v>4</v>
      </c>
      <c r="B11" s="12" t="s">
        <v>254</v>
      </c>
      <c r="C11" s="13" t="s">
        <v>185</v>
      </c>
      <c r="D11" s="13" t="s">
        <v>251</v>
      </c>
      <c r="E11" s="13" t="s">
        <v>252</v>
      </c>
      <c r="F11" s="14">
        <v>17</v>
      </c>
      <c r="G11" s="14"/>
      <c r="H11" s="14">
        <v>17</v>
      </c>
      <c r="I11" s="14"/>
      <c r="J11" s="14"/>
      <c r="K11" s="15" t="s">
        <v>253</v>
      </c>
    </row>
    <row r="12" spans="1:11" ht="18.75" customHeight="1">
      <c r="A12" s="5" t="s">
        <v>186</v>
      </c>
      <c r="B12" s="6" t="s">
        <v>143</v>
      </c>
      <c r="C12" s="7"/>
      <c r="D12" s="7" t="s">
        <v>275</v>
      </c>
      <c r="E12" s="7"/>
      <c r="F12" s="8">
        <f>F13+F41+F54+F56+F59+F63</f>
        <v>330.73</v>
      </c>
      <c r="G12" s="8">
        <f>G13+G41+G54+G56+G59+G63</f>
        <v>87.22</v>
      </c>
      <c r="H12" s="8">
        <f>H13+H41+H54+H56+H59+H63</f>
        <v>54</v>
      </c>
      <c r="I12" s="8">
        <f>I13+I41+I54+I56+I59+I63</f>
        <v>20.71</v>
      </c>
      <c r="J12" s="8">
        <f>J13+J41+J54+J56+J59+J63</f>
        <v>187.08</v>
      </c>
      <c r="K12" s="9"/>
    </row>
    <row r="13" spans="1:11" ht="18.75" customHeight="1">
      <c r="A13" s="5" t="s">
        <v>47</v>
      </c>
      <c r="B13" s="10" t="s">
        <v>48</v>
      </c>
      <c r="C13" s="7"/>
      <c r="D13" s="7" t="s">
        <v>250</v>
      </c>
      <c r="E13" s="7"/>
      <c r="F13" s="8">
        <f>F14+F37+F27</f>
        <v>188.52</v>
      </c>
      <c r="G13" s="8">
        <f>G14+G37+G27</f>
        <v>31.11</v>
      </c>
      <c r="H13" s="8">
        <f>H14+H37+H27</f>
        <v>28.97</v>
      </c>
      <c r="I13" s="8">
        <f>I14+I37+I27</f>
        <v>20.71</v>
      </c>
      <c r="J13" s="8">
        <f>J14+J37+J27</f>
        <v>126.01</v>
      </c>
      <c r="K13" s="9"/>
    </row>
    <row r="14" spans="1:11" ht="18.75" customHeight="1">
      <c r="A14" s="5" t="s">
        <v>187</v>
      </c>
      <c r="B14" s="10" t="s">
        <v>49</v>
      </c>
      <c r="C14" s="7"/>
      <c r="D14" s="7" t="s">
        <v>258</v>
      </c>
      <c r="E14" s="7"/>
      <c r="F14" s="8">
        <f>SUM(F15:F26)</f>
        <v>88.740000000000009</v>
      </c>
      <c r="G14" s="8">
        <f t="shared" ref="G14:J14" si="2">SUM(G15:G26)</f>
        <v>20.96</v>
      </c>
      <c r="H14" s="8">
        <f t="shared" si="2"/>
        <v>13.67</v>
      </c>
      <c r="I14" s="8">
        <f t="shared" si="2"/>
        <v>1.2</v>
      </c>
      <c r="J14" s="8">
        <f t="shared" si="2"/>
        <v>52.910000000000004</v>
      </c>
      <c r="K14" s="9"/>
    </row>
    <row r="15" spans="1:11" ht="69" customHeight="1">
      <c r="A15" s="16">
        <v>1</v>
      </c>
      <c r="B15" s="17" t="s">
        <v>221</v>
      </c>
      <c r="C15" s="18" t="s">
        <v>39</v>
      </c>
      <c r="D15" s="18" t="s">
        <v>222</v>
      </c>
      <c r="E15" s="19" t="s">
        <v>128</v>
      </c>
      <c r="F15" s="20">
        <v>2.64</v>
      </c>
      <c r="G15" s="20">
        <v>2</v>
      </c>
      <c r="H15" s="20"/>
      <c r="I15" s="20"/>
      <c r="J15" s="20">
        <f>F15-G15</f>
        <v>0.64000000000000012</v>
      </c>
      <c r="K15" s="21" t="s">
        <v>226</v>
      </c>
    </row>
    <row r="16" spans="1:11" ht="52.5" customHeight="1">
      <c r="A16" s="11">
        <v>2</v>
      </c>
      <c r="B16" s="130" t="s">
        <v>3</v>
      </c>
      <c r="C16" s="13" t="s">
        <v>39</v>
      </c>
      <c r="D16" s="13" t="s">
        <v>64</v>
      </c>
      <c r="E16" s="22" t="s">
        <v>121</v>
      </c>
      <c r="F16" s="14">
        <v>0.85</v>
      </c>
      <c r="G16" s="14"/>
      <c r="H16" s="14">
        <v>0.85</v>
      </c>
      <c r="I16" s="14"/>
      <c r="J16" s="14">
        <f>F16-G16-H16</f>
        <v>0</v>
      </c>
      <c r="K16" s="122" t="s">
        <v>146</v>
      </c>
    </row>
    <row r="17" spans="1:11" ht="31.5">
      <c r="A17" s="16">
        <v>3</v>
      </c>
      <c r="B17" s="131"/>
      <c r="C17" s="13" t="s">
        <v>39</v>
      </c>
      <c r="D17" s="13" t="s">
        <v>63</v>
      </c>
      <c r="E17" s="22" t="s">
        <v>121</v>
      </c>
      <c r="F17" s="14">
        <v>0.52</v>
      </c>
      <c r="G17" s="14">
        <v>0.08</v>
      </c>
      <c r="H17" s="14"/>
      <c r="I17" s="14"/>
      <c r="J17" s="14">
        <f t="shared" ref="J17:J20" si="3">F17-G17-H17</f>
        <v>0.44</v>
      </c>
      <c r="K17" s="123"/>
    </row>
    <row r="18" spans="1:11" ht="47.25">
      <c r="A18" s="11">
        <v>4</v>
      </c>
      <c r="B18" s="12" t="s">
        <v>147</v>
      </c>
      <c r="C18" s="13" t="s">
        <v>39</v>
      </c>
      <c r="D18" s="13" t="s">
        <v>65</v>
      </c>
      <c r="E18" s="13" t="s">
        <v>36</v>
      </c>
      <c r="F18" s="14">
        <v>0.78</v>
      </c>
      <c r="G18" s="14">
        <v>0.08</v>
      </c>
      <c r="H18" s="14"/>
      <c r="I18" s="14"/>
      <c r="J18" s="14">
        <f t="shared" si="3"/>
        <v>0.70000000000000007</v>
      </c>
      <c r="K18" s="15" t="s">
        <v>122</v>
      </c>
    </row>
    <row r="19" spans="1:11" ht="37.5" customHeight="1">
      <c r="A19" s="16">
        <v>5</v>
      </c>
      <c r="B19" s="130" t="s">
        <v>111</v>
      </c>
      <c r="C19" s="13" t="s">
        <v>39</v>
      </c>
      <c r="D19" s="13" t="s">
        <v>148</v>
      </c>
      <c r="E19" s="23" t="s">
        <v>103</v>
      </c>
      <c r="F19" s="14">
        <v>5.0199999999999996</v>
      </c>
      <c r="G19" s="14">
        <v>2.34</v>
      </c>
      <c r="H19" s="14"/>
      <c r="I19" s="14"/>
      <c r="J19" s="14">
        <f t="shared" si="3"/>
        <v>2.6799999999999997</v>
      </c>
      <c r="K19" s="122" t="s">
        <v>150</v>
      </c>
    </row>
    <row r="20" spans="1:11" ht="31.5">
      <c r="A20" s="11">
        <v>6</v>
      </c>
      <c r="B20" s="131"/>
      <c r="C20" s="13" t="s">
        <v>39</v>
      </c>
      <c r="D20" s="13" t="s">
        <v>149</v>
      </c>
      <c r="E20" s="23" t="s">
        <v>103</v>
      </c>
      <c r="F20" s="14">
        <v>0.39</v>
      </c>
      <c r="G20" s="14">
        <v>0.15</v>
      </c>
      <c r="H20" s="14"/>
      <c r="I20" s="14"/>
      <c r="J20" s="14">
        <f t="shared" si="3"/>
        <v>0.24000000000000002</v>
      </c>
      <c r="K20" s="123"/>
    </row>
    <row r="21" spans="1:11" ht="78.75">
      <c r="A21" s="16">
        <v>7</v>
      </c>
      <c r="B21" s="132" t="s">
        <v>21</v>
      </c>
      <c r="C21" s="13" t="s">
        <v>39</v>
      </c>
      <c r="D21" s="18" t="s">
        <v>212</v>
      </c>
      <c r="E21" s="18" t="s">
        <v>121</v>
      </c>
      <c r="F21" s="14">
        <v>25.22</v>
      </c>
      <c r="G21" s="14">
        <v>9.9700000000000006</v>
      </c>
      <c r="H21" s="14">
        <v>0.86</v>
      </c>
      <c r="I21" s="14"/>
      <c r="J21" s="14">
        <f>F21-G21-H21</f>
        <v>14.389999999999999</v>
      </c>
      <c r="K21" s="24" t="s">
        <v>207</v>
      </c>
    </row>
    <row r="22" spans="1:11" ht="78.75">
      <c r="A22" s="11">
        <v>8</v>
      </c>
      <c r="B22" s="133"/>
      <c r="C22" s="13" t="s">
        <v>39</v>
      </c>
      <c r="D22" s="18" t="s">
        <v>211</v>
      </c>
      <c r="E22" s="18" t="s">
        <v>121</v>
      </c>
      <c r="F22" s="14">
        <v>1.71</v>
      </c>
      <c r="G22" s="14"/>
      <c r="H22" s="14">
        <v>0.14000000000000001</v>
      </c>
      <c r="I22" s="14"/>
      <c r="J22" s="14">
        <f>F22-G22-H22</f>
        <v>1.5699999999999998</v>
      </c>
      <c r="K22" s="24" t="s">
        <v>213</v>
      </c>
    </row>
    <row r="23" spans="1:11" ht="123.75" customHeight="1">
      <c r="A23" s="16">
        <v>9</v>
      </c>
      <c r="B23" s="97" t="s">
        <v>283</v>
      </c>
      <c r="C23" s="18" t="s">
        <v>39</v>
      </c>
      <c r="D23" s="18" t="s">
        <v>237</v>
      </c>
      <c r="E23" s="22" t="s">
        <v>121</v>
      </c>
      <c r="F23" s="20">
        <v>5.71</v>
      </c>
      <c r="G23" s="20">
        <v>5.53</v>
      </c>
      <c r="H23" s="20"/>
      <c r="I23" s="20"/>
      <c r="J23" s="20">
        <f>F23-G23</f>
        <v>0.17999999999999972</v>
      </c>
      <c r="K23" s="21" t="s">
        <v>235</v>
      </c>
    </row>
    <row r="24" spans="1:11" ht="90.75" customHeight="1">
      <c r="A24" s="11">
        <v>10</v>
      </c>
      <c r="B24" s="97" t="s">
        <v>266</v>
      </c>
      <c r="C24" s="18" t="s">
        <v>39</v>
      </c>
      <c r="D24" s="18" t="s">
        <v>241</v>
      </c>
      <c r="E24" s="22" t="s">
        <v>121</v>
      </c>
      <c r="F24" s="20">
        <v>44.84</v>
      </c>
      <c r="G24" s="20"/>
      <c r="H24" s="20">
        <v>11.82</v>
      </c>
      <c r="I24" s="20">
        <v>1.2</v>
      </c>
      <c r="J24" s="20">
        <f>F24-G24-H24-I24</f>
        <v>31.820000000000004</v>
      </c>
      <c r="K24" s="21" t="s">
        <v>246</v>
      </c>
    </row>
    <row r="25" spans="1:11" ht="47.25">
      <c r="A25" s="16">
        <v>11</v>
      </c>
      <c r="B25" s="12" t="s">
        <v>81</v>
      </c>
      <c r="C25" s="13" t="s">
        <v>39</v>
      </c>
      <c r="D25" s="13" t="s">
        <v>208</v>
      </c>
      <c r="E25" s="13" t="s">
        <v>80</v>
      </c>
      <c r="F25" s="14">
        <v>0.36</v>
      </c>
      <c r="G25" s="14">
        <v>0.36</v>
      </c>
      <c r="H25" s="14"/>
      <c r="I25" s="14"/>
      <c r="J25" s="14">
        <f t="shared" ref="J25:J26" si="4">F25-G25-H25</f>
        <v>0</v>
      </c>
      <c r="K25" s="15" t="s">
        <v>139</v>
      </c>
    </row>
    <row r="26" spans="1:11" ht="31.5">
      <c r="A26" s="11">
        <v>12</v>
      </c>
      <c r="B26" s="12" t="s">
        <v>177</v>
      </c>
      <c r="C26" s="13" t="s">
        <v>39</v>
      </c>
      <c r="D26" s="13" t="s">
        <v>83</v>
      </c>
      <c r="E26" s="13" t="s">
        <v>80</v>
      </c>
      <c r="F26" s="14">
        <v>0.7</v>
      </c>
      <c r="G26" s="14">
        <v>0.45</v>
      </c>
      <c r="H26" s="14"/>
      <c r="I26" s="14"/>
      <c r="J26" s="14">
        <f t="shared" si="4"/>
        <v>0.24999999999999994</v>
      </c>
      <c r="K26" s="15" t="s">
        <v>176</v>
      </c>
    </row>
    <row r="27" spans="1:11" s="29" customFormat="1">
      <c r="A27" s="25" t="s">
        <v>188</v>
      </c>
      <c r="B27" s="26" t="s">
        <v>50</v>
      </c>
      <c r="C27" s="6"/>
      <c r="D27" s="7" t="s">
        <v>132</v>
      </c>
      <c r="E27" s="6"/>
      <c r="F27" s="27">
        <f>SUM(F28:F36)</f>
        <v>21.23</v>
      </c>
      <c r="G27" s="27">
        <f t="shared" ref="G27:J27" si="5">SUM(G28:G36)</f>
        <v>10.15</v>
      </c>
      <c r="H27" s="27">
        <f t="shared" si="5"/>
        <v>0</v>
      </c>
      <c r="I27" s="27"/>
      <c r="J27" s="27">
        <f t="shared" si="5"/>
        <v>11.079999999999998</v>
      </c>
      <c r="K27" s="28"/>
    </row>
    <row r="28" spans="1:11" ht="47.25">
      <c r="A28" s="11">
        <v>1</v>
      </c>
      <c r="B28" s="12" t="s">
        <v>112</v>
      </c>
      <c r="C28" s="13" t="s">
        <v>45</v>
      </c>
      <c r="D28" s="19" t="s">
        <v>113</v>
      </c>
      <c r="E28" s="13" t="s">
        <v>103</v>
      </c>
      <c r="F28" s="30">
        <v>1.05</v>
      </c>
      <c r="G28" s="30">
        <v>0.95</v>
      </c>
      <c r="H28" s="30"/>
      <c r="I28" s="30"/>
      <c r="J28" s="31">
        <f t="shared" ref="J28:J36" si="6">F28-G28</f>
        <v>0.10000000000000009</v>
      </c>
      <c r="K28" s="15" t="s">
        <v>150</v>
      </c>
    </row>
    <row r="29" spans="1:11" ht="47.25">
      <c r="A29" s="11">
        <v>2</v>
      </c>
      <c r="B29" s="12" t="s">
        <v>280</v>
      </c>
      <c r="C29" s="13" t="s">
        <v>45</v>
      </c>
      <c r="D29" s="19" t="s">
        <v>148</v>
      </c>
      <c r="E29" s="13" t="s">
        <v>103</v>
      </c>
      <c r="F29" s="30">
        <v>5.95</v>
      </c>
      <c r="G29" s="30">
        <v>0.54</v>
      </c>
      <c r="H29" s="30"/>
      <c r="I29" s="30"/>
      <c r="J29" s="31">
        <f>F29-G29</f>
        <v>5.41</v>
      </c>
      <c r="K29" s="15" t="s">
        <v>150</v>
      </c>
    </row>
    <row r="30" spans="1:11" ht="47.25">
      <c r="A30" s="11">
        <v>3</v>
      </c>
      <c r="B30" s="12" t="s">
        <v>105</v>
      </c>
      <c r="C30" s="13" t="s">
        <v>45</v>
      </c>
      <c r="D30" s="19" t="s">
        <v>106</v>
      </c>
      <c r="E30" s="13" t="s">
        <v>103</v>
      </c>
      <c r="F30" s="30">
        <v>0.54</v>
      </c>
      <c r="G30" s="30">
        <v>0.34</v>
      </c>
      <c r="H30" s="30"/>
      <c r="I30" s="30"/>
      <c r="J30" s="31">
        <f t="shared" si="6"/>
        <v>0.2</v>
      </c>
      <c r="K30" s="15" t="s">
        <v>153</v>
      </c>
    </row>
    <row r="31" spans="1:11" ht="110.25">
      <c r="A31" s="11">
        <v>4</v>
      </c>
      <c r="B31" s="12" t="s">
        <v>279</v>
      </c>
      <c r="C31" s="13" t="s">
        <v>45</v>
      </c>
      <c r="D31" s="19" t="s">
        <v>114</v>
      </c>
      <c r="E31" s="13" t="s">
        <v>103</v>
      </c>
      <c r="F31" s="30">
        <v>0.48</v>
      </c>
      <c r="G31" s="30">
        <v>0.01</v>
      </c>
      <c r="H31" s="30"/>
      <c r="I31" s="30"/>
      <c r="J31" s="31">
        <f t="shared" si="6"/>
        <v>0.47</v>
      </c>
      <c r="K31" s="15" t="s">
        <v>198</v>
      </c>
    </row>
    <row r="32" spans="1:11" ht="78.75">
      <c r="A32" s="11">
        <v>5</v>
      </c>
      <c r="B32" s="12" t="s">
        <v>89</v>
      </c>
      <c r="C32" s="13" t="s">
        <v>45</v>
      </c>
      <c r="D32" s="19" t="s">
        <v>91</v>
      </c>
      <c r="E32" s="13" t="s">
        <v>90</v>
      </c>
      <c r="F32" s="31">
        <v>5</v>
      </c>
      <c r="G32" s="30">
        <v>4.8600000000000003</v>
      </c>
      <c r="H32" s="30"/>
      <c r="I32" s="30"/>
      <c r="J32" s="31">
        <f t="shared" si="6"/>
        <v>0.13999999999999968</v>
      </c>
      <c r="K32" s="15" t="s">
        <v>154</v>
      </c>
    </row>
    <row r="33" spans="1:11" ht="78.75" customHeight="1">
      <c r="A33" s="11">
        <v>6</v>
      </c>
      <c r="B33" s="12" t="s">
        <v>281</v>
      </c>
      <c r="C33" s="13" t="s">
        <v>45</v>
      </c>
      <c r="D33" s="19" t="s">
        <v>91</v>
      </c>
      <c r="E33" s="13" t="s">
        <v>88</v>
      </c>
      <c r="F33" s="14">
        <v>0.35</v>
      </c>
      <c r="G33" s="14">
        <v>0.35</v>
      </c>
      <c r="H33" s="30"/>
      <c r="I33" s="30"/>
      <c r="J33" s="31">
        <f t="shared" si="6"/>
        <v>0</v>
      </c>
      <c r="K33" s="122" t="s">
        <v>155</v>
      </c>
    </row>
    <row r="34" spans="1:11" ht="31.5">
      <c r="A34" s="11">
        <v>7</v>
      </c>
      <c r="B34" s="12" t="s">
        <v>95</v>
      </c>
      <c r="C34" s="13" t="s">
        <v>45</v>
      </c>
      <c r="D34" s="19" t="s">
        <v>96</v>
      </c>
      <c r="E34" s="13" t="s">
        <v>88</v>
      </c>
      <c r="F34" s="14">
        <v>2.5</v>
      </c>
      <c r="G34" s="14">
        <v>1</v>
      </c>
      <c r="H34" s="30"/>
      <c r="I34" s="30"/>
      <c r="J34" s="31">
        <f t="shared" si="6"/>
        <v>1.5</v>
      </c>
      <c r="K34" s="123"/>
    </row>
    <row r="35" spans="1:11" ht="78.75">
      <c r="A35" s="11">
        <v>8</v>
      </c>
      <c r="B35" s="12" t="s">
        <v>97</v>
      </c>
      <c r="C35" s="13" t="s">
        <v>45</v>
      </c>
      <c r="D35" s="19" t="s">
        <v>98</v>
      </c>
      <c r="E35" s="13" t="s">
        <v>88</v>
      </c>
      <c r="F35" s="14">
        <v>3.36</v>
      </c>
      <c r="G35" s="14">
        <v>0.1</v>
      </c>
      <c r="H35" s="30"/>
      <c r="I35" s="30"/>
      <c r="J35" s="31">
        <f t="shared" si="6"/>
        <v>3.26</v>
      </c>
      <c r="K35" s="32" t="s">
        <v>156</v>
      </c>
    </row>
    <row r="36" spans="1:11" ht="78.75">
      <c r="A36" s="11">
        <v>9</v>
      </c>
      <c r="B36" s="12" t="s">
        <v>282</v>
      </c>
      <c r="C36" s="13" t="s">
        <v>45</v>
      </c>
      <c r="D36" s="19" t="s">
        <v>93</v>
      </c>
      <c r="E36" s="13" t="s">
        <v>88</v>
      </c>
      <c r="F36" s="14">
        <v>2</v>
      </c>
      <c r="G36" s="14">
        <v>2</v>
      </c>
      <c r="H36" s="30"/>
      <c r="I36" s="30"/>
      <c r="J36" s="31">
        <f t="shared" si="6"/>
        <v>0</v>
      </c>
      <c r="K36" s="15" t="s">
        <v>157</v>
      </c>
    </row>
    <row r="37" spans="1:11" s="29" customFormat="1">
      <c r="A37" s="25" t="s">
        <v>189</v>
      </c>
      <c r="B37" s="26" t="s">
        <v>51</v>
      </c>
      <c r="C37" s="6"/>
      <c r="D37" s="7" t="s">
        <v>78</v>
      </c>
      <c r="E37" s="6"/>
      <c r="F37" s="27">
        <f>SUM(F38:F40)</f>
        <v>78.55</v>
      </c>
      <c r="G37" s="27">
        <f t="shared" ref="G37:J37" si="7">SUM(G38:G40)</f>
        <v>0</v>
      </c>
      <c r="H37" s="27">
        <f t="shared" si="7"/>
        <v>15.3</v>
      </c>
      <c r="I37" s="27">
        <f t="shared" si="7"/>
        <v>19.510000000000002</v>
      </c>
      <c r="J37" s="27">
        <f t="shared" si="7"/>
        <v>62.019999999999996</v>
      </c>
      <c r="K37" s="33"/>
    </row>
    <row r="38" spans="1:11" ht="47.25">
      <c r="A38" s="11">
        <v>1</v>
      </c>
      <c r="B38" s="12" t="s">
        <v>240</v>
      </c>
      <c r="C38" s="13" t="s">
        <v>42</v>
      </c>
      <c r="D38" s="13" t="s">
        <v>241</v>
      </c>
      <c r="E38" s="13" t="s">
        <v>242</v>
      </c>
      <c r="F38" s="14">
        <v>1.23</v>
      </c>
      <c r="G38" s="14"/>
      <c r="H38" s="14"/>
      <c r="I38" s="14">
        <v>1.23</v>
      </c>
      <c r="J38" s="14"/>
      <c r="K38" s="15" t="s">
        <v>243</v>
      </c>
    </row>
    <row r="39" spans="1:11" ht="47.25">
      <c r="A39" s="11">
        <v>2</v>
      </c>
      <c r="B39" s="12" t="s">
        <v>5</v>
      </c>
      <c r="C39" s="13" t="s">
        <v>42</v>
      </c>
      <c r="D39" s="13" t="s">
        <v>70</v>
      </c>
      <c r="E39" s="13" t="s">
        <v>68</v>
      </c>
      <c r="F39" s="14">
        <v>39.799999999999997</v>
      </c>
      <c r="G39" s="14"/>
      <c r="H39" s="14">
        <v>15.3</v>
      </c>
      <c r="I39" s="14"/>
      <c r="J39" s="14">
        <f>F39-G39-H39</f>
        <v>24.499999999999996</v>
      </c>
      <c r="K39" s="15" t="s">
        <v>200</v>
      </c>
    </row>
    <row r="40" spans="1:11" ht="47.25">
      <c r="A40" s="11">
        <v>3</v>
      </c>
      <c r="B40" s="12" t="s">
        <v>273</v>
      </c>
      <c r="C40" s="13" t="s">
        <v>42</v>
      </c>
      <c r="D40" s="13" t="s">
        <v>274</v>
      </c>
      <c r="E40" s="13" t="s">
        <v>68</v>
      </c>
      <c r="F40" s="14">
        <v>37.520000000000003</v>
      </c>
      <c r="G40" s="14"/>
      <c r="H40" s="14"/>
      <c r="I40" s="14">
        <v>18.28</v>
      </c>
      <c r="J40" s="14">
        <f>F40-G40-H40</f>
        <v>37.520000000000003</v>
      </c>
      <c r="K40" s="96"/>
    </row>
    <row r="41" spans="1:11" s="29" customFormat="1">
      <c r="A41" s="25" t="s">
        <v>57</v>
      </c>
      <c r="B41" s="26" t="s">
        <v>52</v>
      </c>
      <c r="C41" s="6"/>
      <c r="D41" s="7" t="s">
        <v>134</v>
      </c>
      <c r="E41" s="6"/>
      <c r="F41" s="27">
        <f>F42+F50</f>
        <v>68.400000000000006</v>
      </c>
      <c r="G41" s="27">
        <f>G42+G50</f>
        <v>48.14</v>
      </c>
      <c r="H41" s="27">
        <f>H42+H50</f>
        <v>0</v>
      </c>
      <c r="I41" s="27"/>
      <c r="J41" s="27">
        <f>J42+J50</f>
        <v>20.259999999999998</v>
      </c>
      <c r="K41" s="34"/>
    </row>
    <row r="42" spans="1:11" s="29" customFormat="1">
      <c r="A42" s="25" t="s">
        <v>187</v>
      </c>
      <c r="B42" s="26" t="s">
        <v>53</v>
      </c>
      <c r="C42" s="6"/>
      <c r="D42" s="7" t="s">
        <v>197</v>
      </c>
      <c r="E42" s="6"/>
      <c r="F42" s="27">
        <f>SUM(F43:F49)</f>
        <v>54.570000000000007</v>
      </c>
      <c r="G42" s="27">
        <f t="shared" ref="G42:J42" si="8">SUM(G43:G49)</f>
        <v>34.880000000000003</v>
      </c>
      <c r="H42" s="27">
        <f t="shared" si="8"/>
        <v>0</v>
      </c>
      <c r="I42" s="27"/>
      <c r="J42" s="27">
        <f t="shared" si="8"/>
        <v>19.690000000000001</v>
      </c>
      <c r="K42" s="34"/>
    </row>
    <row r="43" spans="1:11" ht="42.75" customHeight="1">
      <c r="A43" s="11">
        <v>1</v>
      </c>
      <c r="B43" s="12" t="s">
        <v>124</v>
      </c>
      <c r="C43" s="23" t="s">
        <v>43</v>
      </c>
      <c r="D43" s="23" t="s">
        <v>71</v>
      </c>
      <c r="E43" s="23" t="s">
        <v>28</v>
      </c>
      <c r="F43" s="14">
        <v>10.4</v>
      </c>
      <c r="G43" s="14">
        <v>8.64</v>
      </c>
      <c r="H43" s="30"/>
      <c r="I43" s="30"/>
      <c r="J43" s="14">
        <f>F43-G43-H43</f>
        <v>1.7599999999999998</v>
      </c>
      <c r="K43" s="122" t="s">
        <v>160</v>
      </c>
    </row>
    <row r="44" spans="1:11" ht="42.75" customHeight="1">
      <c r="A44" s="11">
        <v>2</v>
      </c>
      <c r="B44" s="12" t="s">
        <v>125</v>
      </c>
      <c r="C44" s="23" t="s">
        <v>43</v>
      </c>
      <c r="D44" s="23" t="s">
        <v>71</v>
      </c>
      <c r="E44" s="23" t="s">
        <v>28</v>
      </c>
      <c r="F44" s="14">
        <v>8.59</v>
      </c>
      <c r="G44" s="14">
        <v>7.04</v>
      </c>
      <c r="H44" s="30"/>
      <c r="I44" s="30"/>
      <c r="J44" s="14">
        <f>F44-G44-H44</f>
        <v>1.5499999999999998</v>
      </c>
      <c r="K44" s="123"/>
    </row>
    <row r="45" spans="1:11" ht="78.75">
      <c r="A45" s="11">
        <v>3</v>
      </c>
      <c r="B45" s="12" t="s">
        <v>201</v>
      </c>
      <c r="C45" s="13" t="s">
        <v>43</v>
      </c>
      <c r="D45" s="13" t="s">
        <v>73</v>
      </c>
      <c r="E45" s="13" t="s">
        <v>126</v>
      </c>
      <c r="F45" s="35">
        <v>0.89</v>
      </c>
      <c r="G45" s="30">
        <v>0.63</v>
      </c>
      <c r="H45" s="30"/>
      <c r="I45" s="30"/>
      <c r="J45" s="14">
        <f t="shared" ref="J45:J49" si="9">F45-G45-H45</f>
        <v>0.26</v>
      </c>
      <c r="K45" s="32" t="s">
        <v>163</v>
      </c>
    </row>
    <row r="46" spans="1:11" ht="94.5">
      <c r="A46" s="11">
        <v>4</v>
      </c>
      <c r="B46" s="12" t="s">
        <v>30</v>
      </c>
      <c r="C46" s="13" t="s">
        <v>43</v>
      </c>
      <c r="D46" s="13" t="s">
        <v>75</v>
      </c>
      <c r="E46" s="13" t="s">
        <v>36</v>
      </c>
      <c r="F46" s="14">
        <v>2.69</v>
      </c>
      <c r="G46" s="14">
        <v>2.69</v>
      </c>
      <c r="H46" s="14"/>
      <c r="I46" s="14"/>
      <c r="J46" s="14">
        <f t="shared" si="9"/>
        <v>0</v>
      </c>
      <c r="K46" s="15" t="s">
        <v>164</v>
      </c>
    </row>
    <row r="47" spans="1:11" ht="60" customHeight="1">
      <c r="A47" s="11">
        <v>5</v>
      </c>
      <c r="B47" s="12" t="s">
        <v>178</v>
      </c>
      <c r="C47" s="13" t="s">
        <v>43</v>
      </c>
      <c r="D47" s="13" t="s">
        <v>18</v>
      </c>
      <c r="E47" s="12" t="s">
        <v>126</v>
      </c>
      <c r="F47" s="36">
        <v>6.41</v>
      </c>
      <c r="G47" s="14">
        <v>5.69</v>
      </c>
      <c r="H47" s="14"/>
      <c r="I47" s="14"/>
      <c r="J47" s="14">
        <f t="shared" ref="J47" si="10">F47-G47-H47</f>
        <v>0.71999999999999975</v>
      </c>
      <c r="K47" s="122" t="s">
        <v>180</v>
      </c>
    </row>
    <row r="48" spans="1:11" ht="60" customHeight="1">
      <c r="A48" s="11">
        <v>6</v>
      </c>
      <c r="B48" s="12" t="s">
        <v>178</v>
      </c>
      <c r="C48" s="13" t="s">
        <v>43</v>
      </c>
      <c r="D48" s="13" t="s">
        <v>179</v>
      </c>
      <c r="E48" s="12" t="s">
        <v>126</v>
      </c>
      <c r="F48" s="36">
        <v>14.13</v>
      </c>
      <c r="G48" s="14">
        <v>9.8699999999999992</v>
      </c>
      <c r="H48" s="14"/>
      <c r="I48" s="14"/>
      <c r="J48" s="14">
        <f t="shared" si="9"/>
        <v>4.2600000000000016</v>
      </c>
      <c r="K48" s="123"/>
    </row>
    <row r="49" spans="1:11" ht="78.75">
      <c r="A49" s="11">
        <v>7</v>
      </c>
      <c r="B49" s="37" t="s">
        <v>104</v>
      </c>
      <c r="C49" s="13" t="s">
        <v>43</v>
      </c>
      <c r="D49" s="13" t="s">
        <v>18</v>
      </c>
      <c r="E49" s="13" t="s">
        <v>103</v>
      </c>
      <c r="F49" s="36">
        <v>11.46</v>
      </c>
      <c r="G49" s="14">
        <v>0.32</v>
      </c>
      <c r="H49" s="14"/>
      <c r="I49" s="14"/>
      <c r="J49" s="14">
        <f t="shared" si="9"/>
        <v>11.14</v>
      </c>
      <c r="K49" s="15" t="s">
        <v>167</v>
      </c>
    </row>
    <row r="50" spans="1:11" s="29" customFormat="1">
      <c r="A50" s="25" t="s">
        <v>188</v>
      </c>
      <c r="B50" s="26" t="s">
        <v>58</v>
      </c>
      <c r="C50" s="6"/>
      <c r="D50" s="7" t="s">
        <v>78</v>
      </c>
      <c r="E50" s="6"/>
      <c r="F50" s="27">
        <f>SUM(F51:F53)</f>
        <v>13.829999999999998</v>
      </c>
      <c r="G50" s="27">
        <f>SUM(G51:G53)</f>
        <v>13.260000000000002</v>
      </c>
      <c r="H50" s="27"/>
      <c r="I50" s="27"/>
      <c r="J50" s="27">
        <f>SUM(J51:J53)</f>
        <v>0.56999999999999851</v>
      </c>
      <c r="K50" s="28"/>
    </row>
    <row r="51" spans="1:11" ht="47.25">
      <c r="A51" s="11">
        <v>1</v>
      </c>
      <c r="B51" s="12" t="s">
        <v>31</v>
      </c>
      <c r="C51" s="13" t="s">
        <v>38</v>
      </c>
      <c r="D51" s="13" t="s">
        <v>76</v>
      </c>
      <c r="E51" s="13" t="s">
        <v>36</v>
      </c>
      <c r="F51" s="14">
        <v>2.93</v>
      </c>
      <c r="G51" s="14">
        <v>2.93</v>
      </c>
      <c r="H51" s="14"/>
      <c r="I51" s="14"/>
      <c r="J51" s="14">
        <f t="shared" ref="J51:J53" si="11">F51-G51-H51</f>
        <v>0</v>
      </c>
      <c r="K51" s="15" t="s">
        <v>122</v>
      </c>
    </row>
    <row r="52" spans="1:11" ht="88.5" customHeight="1">
      <c r="A52" s="11">
        <v>2</v>
      </c>
      <c r="B52" s="38" t="s">
        <v>231</v>
      </c>
      <c r="C52" s="18" t="s">
        <v>38</v>
      </c>
      <c r="D52" s="18" t="s">
        <v>15</v>
      </c>
      <c r="E52" s="18" t="s">
        <v>128</v>
      </c>
      <c r="F52" s="14">
        <v>1.7</v>
      </c>
      <c r="G52" s="14">
        <v>1.7</v>
      </c>
      <c r="H52" s="14"/>
      <c r="I52" s="14"/>
      <c r="J52" s="14">
        <f t="shared" si="11"/>
        <v>0</v>
      </c>
      <c r="K52" s="24" t="s">
        <v>232</v>
      </c>
    </row>
    <row r="53" spans="1:11" ht="78.75">
      <c r="A53" s="11">
        <v>3</v>
      </c>
      <c r="B53" s="38" t="s">
        <v>170</v>
      </c>
      <c r="C53" s="18" t="s">
        <v>38</v>
      </c>
      <c r="D53" s="18" t="s">
        <v>15</v>
      </c>
      <c r="E53" s="18" t="s">
        <v>128</v>
      </c>
      <c r="F53" s="14">
        <v>9.1999999999999993</v>
      </c>
      <c r="G53" s="14">
        <v>8.6300000000000008</v>
      </c>
      <c r="H53" s="14"/>
      <c r="I53" s="14"/>
      <c r="J53" s="14">
        <f t="shared" si="11"/>
        <v>0.56999999999999851</v>
      </c>
      <c r="K53" s="24" t="s">
        <v>171</v>
      </c>
    </row>
    <row r="54" spans="1:11" s="29" customFormat="1">
      <c r="A54" s="25" t="s">
        <v>190</v>
      </c>
      <c r="B54" s="39" t="s">
        <v>59</v>
      </c>
      <c r="C54" s="40"/>
      <c r="D54" s="7" t="s">
        <v>66</v>
      </c>
      <c r="E54" s="40"/>
      <c r="F54" s="27">
        <f>F55</f>
        <v>14.43</v>
      </c>
      <c r="G54" s="27"/>
      <c r="H54" s="27">
        <f t="shared" ref="H54" si="12">H55</f>
        <v>14.43</v>
      </c>
      <c r="I54" s="27"/>
      <c r="J54" s="27"/>
      <c r="K54" s="41"/>
    </row>
    <row r="55" spans="1:11" ht="110.25">
      <c r="A55" s="11">
        <v>1</v>
      </c>
      <c r="B55" s="12" t="s">
        <v>4</v>
      </c>
      <c r="C55" s="13" t="s">
        <v>41</v>
      </c>
      <c r="D55" s="13" t="s">
        <v>69</v>
      </c>
      <c r="E55" s="13" t="s">
        <v>129</v>
      </c>
      <c r="F55" s="14">
        <v>14.43</v>
      </c>
      <c r="G55" s="14"/>
      <c r="H55" s="14">
        <v>14.43</v>
      </c>
      <c r="I55" s="14"/>
      <c r="J55" s="14"/>
      <c r="K55" s="15" t="s">
        <v>194</v>
      </c>
    </row>
    <row r="56" spans="1:11" s="29" customFormat="1" ht="31.5">
      <c r="A56" s="25" t="s">
        <v>191</v>
      </c>
      <c r="B56" s="26" t="s">
        <v>60</v>
      </c>
      <c r="C56" s="6"/>
      <c r="D56" s="7" t="s">
        <v>67</v>
      </c>
      <c r="E56" s="6"/>
      <c r="F56" s="27">
        <f>SUM(F57:F58)</f>
        <v>6.2</v>
      </c>
      <c r="G56" s="27">
        <f t="shared" ref="G56:H56" si="13">SUM(G57:G58)</f>
        <v>0.5</v>
      </c>
      <c r="H56" s="27">
        <f t="shared" si="13"/>
        <v>5.7</v>
      </c>
      <c r="I56" s="27"/>
      <c r="J56" s="27"/>
      <c r="K56" s="28"/>
    </row>
    <row r="57" spans="1:11" ht="47.25">
      <c r="A57" s="11">
        <v>1</v>
      </c>
      <c r="B57" s="38" t="s">
        <v>135</v>
      </c>
      <c r="C57" s="18" t="s">
        <v>40</v>
      </c>
      <c r="D57" s="18" t="s">
        <v>136</v>
      </c>
      <c r="E57" s="13" t="s">
        <v>137</v>
      </c>
      <c r="F57" s="14">
        <v>0.5</v>
      </c>
      <c r="G57" s="14">
        <v>0.5</v>
      </c>
      <c r="H57" s="14"/>
      <c r="I57" s="14"/>
      <c r="J57" s="14"/>
      <c r="K57" s="24" t="s">
        <v>138</v>
      </c>
    </row>
    <row r="58" spans="1:11" s="49" customFormat="1" ht="55.5" customHeight="1">
      <c r="A58" s="74">
        <v>2</v>
      </c>
      <c r="B58" s="85" t="s">
        <v>270</v>
      </c>
      <c r="C58" s="57" t="s">
        <v>40</v>
      </c>
      <c r="D58" s="57" t="s">
        <v>212</v>
      </c>
      <c r="E58" s="57" t="s">
        <v>271</v>
      </c>
      <c r="F58" s="62">
        <v>5.7</v>
      </c>
      <c r="G58" s="62"/>
      <c r="H58" s="62">
        <v>5.7</v>
      </c>
      <c r="I58" s="62"/>
      <c r="J58" s="62"/>
      <c r="K58" s="63" t="s">
        <v>272</v>
      </c>
    </row>
    <row r="59" spans="1:11" s="29" customFormat="1">
      <c r="A59" s="25" t="s">
        <v>192</v>
      </c>
      <c r="B59" s="26" t="s">
        <v>61</v>
      </c>
      <c r="C59" s="6"/>
      <c r="D59" s="7" t="s">
        <v>78</v>
      </c>
      <c r="E59" s="6"/>
      <c r="F59" s="27">
        <f>SUM(F60:F62)</f>
        <v>48.18</v>
      </c>
      <c r="G59" s="27">
        <f>SUM(G60:G62)</f>
        <v>7.4700000000000006</v>
      </c>
      <c r="H59" s="27">
        <f>SUM(H60:H62)</f>
        <v>0</v>
      </c>
      <c r="I59" s="27"/>
      <c r="J59" s="27">
        <f>SUM(J60:J62)</f>
        <v>40.709999999999994</v>
      </c>
      <c r="K59" s="28"/>
    </row>
    <row r="60" spans="1:11" ht="78.75">
      <c r="A60" s="11">
        <v>1</v>
      </c>
      <c r="B60" s="38" t="s">
        <v>195</v>
      </c>
      <c r="C60" s="13" t="s">
        <v>44</v>
      </c>
      <c r="D60" s="13" t="s">
        <v>71</v>
      </c>
      <c r="E60" s="13" t="s">
        <v>28</v>
      </c>
      <c r="F60" s="14">
        <v>6.1</v>
      </c>
      <c r="G60" s="14">
        <v>5.2</v>
      </c>
      <c r="H60" s="30"/>
      <c r="I60" s="30"/>
      <c r="J60" s="14">
        <f t="shared" ref="J60:J61" si="14">F60-G60-H60</f>
        <v>0.89999999999999947</v>
      </c>
      <c r="K60" s="42" t="s">
        <v>160</v>
      </c>
    </row>
    <row r="61" spans="1:11" ht="63">
      <c r="A61" s="11">
        <v>2</v>
      </c>
      <c r="B61" s="38" t="s">
        <v>12</v>
      </c>
      <c r="C61" s="18" t="s">
        <v>44</v>
      </c>
      <c r="D61" s="18" t="s">
        <v>77</v>
      </c>
      <c r="E61" s="18" t="s">
        <v>29</v>
      </c>
      <c r="F61" s="35">
        <v>42</v>
      </c>
      <c r="G61" s="14">
        <v>2.2000000000000002</v>
      </c>
      <c r="H61" s="43"/>
      <c r="I61" s="43"/>
      <c r="J61" s="14">
        <f t="shared" si="14"/>
        <v>39.799999999999997</v>
      </c>
      <c r="K61" s="42" t="s">
        <v>25</v>
      </c>
    </row>
    <row r="62" spans="1:11" ht="47.25">
      <c r="A62" s="11">
        <v>3</v>
      </c>
      <c r="B62" s="12" t="s">
        <v>32</v>
      </c>
      <c r="C62" s="13" t="s">
        <v>44</v>
      </c>
      <c r="D62" s="13" t="s">
        <v>76</v>
      </c>
      <c r="E62" s="13" t="s">
        <v>32</v>
      </c>
      <c r="F62" s="14">
        <v>0.08</v>
      </c>
      <c r="G62" s="14">
        <v>7.0000000000000007E-2</v>
      </c>
      <c r="H62" s="14"/>
      <c r="I62" s="14"/>
      <c r="J62" s="14">
        <f>F62-G62-H62</f>
        <v>9.999999999999995E-3</v>
      </c>
      <c r="K62" s="15" t="s">
        <v>34</v>
      </c>
    </row>
    <row r="63" spans="1:11" s="29" customFormat="1">
      <c r="A63" s="25" t="s">
        <v>193</v>
      </c>
      <c r="B63" s="26" t="s">
        <v>116</v>
      </c>
      <c r="C63" s="6"/>
      <c r="D63" s="7" t="s">
        <v>67</v>
      </c>
      <c r="E63" s="6"/>
      <c r="F63" s="27">
        <f>SUM(F64:F65)</f>
        <v>5</v>
      </c>
      <c r="G63" s="27">
        <f>SUM(G64:G65)</f>
        <v>0</v>
      </c>
      <c r="H63" s="27">
        <f>SUM(H64:H65)</f>
        <v>4.9000000000000004</v>
      </c>
      <c r="I63" s="27"/>
      <c r="J63" s="27">
        <f>SUM(J64:J65)</f>
        <v>0.10000000000000009</v>
      </c>
      <c r="K63" s="28"/>
    </row>
    <row r="64" spans="1:11" ht="47.25">
      <c r="A64" s="11">
        <v>1</v>
      </c>
      <c r="B64" s="12" t="s">
        <v>181</v>
      </c>
      <c r="C64" s="13" t="s">
        <v>119</v>
      </c>
      <c r="D64" s="13" t="s">
        <v>117</v>
      </c>
      <c r="E64" s="13" t="s">
        <v>118</v>
      </c>
      <c r="F64" s="14">
        <v>3</v>
      </c>
      <c r="G64" s="14"/>
      <c r="H64" s="14">
        <v>3</v>
      </c>
      <c r="I64" s="14"/>
      <c r="J64" s="14"/>
      <c r="K64" s="15" t="s">
        <v>140</v>
      </c>
    </row>
    <row r="65" spans="1:11" ht="47.25">
      <c r="A65" s="44">
        <v>2</v>
      </c>
      <c r="B65" s="12" t="s">
        <v>217</v>
      </c>
      <c r="C65" s="13" t="s">
        <v>119</v>
      </c>
      <c r="D65" s="13" t="s">
        <v>218</v>
      </c>
      <c r="E65" s="13" t="s">
        <v>219</v>
      </c>
      <c r="F65" s="14">
        <v>2</v>
      </c>
      <c r="G65" s="14"/>
      <c r="H65" s="14">
        <v>1.9</v>
      </c>
      <c r="I65" s="14"/>
      <c r="J65" s="14">
        <f>F65-H65</f>
        <v>0.10000000000000009</v>
      </c>
      <c r="K65" s="15" t="s">
        <v>220</v>
      </c>
    </row>
    <row r="66" spans="1:11" s="29" customFormat="1">
      <c r="A66" s="124" t="s">
        <v>62</v>
      </c>
      <c r="B66" s="125"/>
      <c r="C66" s="25"/>
      <c r="D66" s="7" t="s">
        <v>276</v>
      </c>
      <c r="E66" s="25"/>
      <c r="F66" s="27">
        <f>F6+F12</f>
        <v>494.69000000000005</v>
      </c>
      <c r="G66" s="27">
        <f t="shared" ref="G66:J66" si="15">G6+G12</f>
        <v>92.789999999999992</v>
      </c>
      <c r="H66" s="27">
        <f t="shared" si="15"/>
        <v>112.75</v>
      </c>
      <c r="I66" s="27">
        <f t="shared" si="15"/>
        <v>20.71</v>
      </c>
      <c r="J66" s="27">
        <f t="shared" si="15"/>
        <v>286.72000000000003</v>
      </c>
      <c r="K66" s="45"/>
    </row>
  </sheetData>
  <autoFilter ref="A6:J66"/>
  <mergeCells count="23">
    <mergeCell ref="A66:B66"/>
    <mergeCell ref="A1:B1"/>
    <mergeCell ref="A2:K2"/>
    <mergeCell ref="A4:A5"/>
    <mergeCell ref="B4:B5"/>
    <mergeCell ref="C4:C5"/>
    <mergeCell ref="D4:D5"/>
    <mergeCell ref="E4:E5"/>
    <mergeCell ref="F4:F5"/>
    <mergeCell ref="G4:G5"/>
    <mergeCell ref="B16:B17"/>
    <mergeCell ref="B21:B22"/>
    <mergeCell ref="A3:K3"/>
    <mergeCell ref="B19:B20"/>
    <mergeCell ref="K19:K20"/>
    <mergeCell ref="H4:H5"/>
    <mergeCell ref="I4:I5"/>
    <mergeCell ref="J4:J5"/>
    <mergeCell ref="K4:K5"/>
    <mergeCell ref="K47:K48"/>
    <mergeCell ref="K33:K34"/>
    <mergeCell ref="K43:K44"/>
    <mergeCell ref="K16:K17"/>
  </mergeCells>
  <conditionalFormatting sqref="K54 K57">
    <cfRule type="expression" dxfId="9" priority="9" stopIfTrue="1">
      <formula>COUNTIF(#REF!,"*=sumifs*")</formula>
    </cfRule>
  </conditionalFormatting>
  <conditionalFormatting sqref="K53">
    <cfRule type="expression" dxfId="8" priority="6" stopIfTrue="1">
      <formula>COUNTIF(#REF!,"*=sumifs*")</formula>
    </cfRule>
  </conditionalFormatting>
  <conditionalFormatting sqref="K58">
    <cfRule type="expression" dxfId="7" priority="1" stopIfTrue="1">
      <formula>COUNTIF(#REF!,"*=sumifs*")</formula>
    </cfRule>
  </conditionalFormatting>
  <pageMargins left="0.31496062992126" right="0.27559055118110198" top="0.35433070866141703" bottom="0.31496062992126" header="0.31496062992126" footer="0.31496062992126"/>
  <pageSetup paperSize="9" scale="68" orientation="portrait" r:id="rId1"/>
  <headerFooter>
    <oddFooter>&amp;C&amp;P</oddFooter>
  </headerFooter>
  <extLst>
    <ext xmlns:x14="http://schemas.microsoft.com/office/spreadsheetml/2009/9/main" uri="{78C0D931-6437-407d-A8EE-F0AAD7539E65}">
      <x14:conditionalFormattings>
        <x14:conditionalFormatting xmlns:xm="http://schemas.microsoft.com/office/excel/2006/main">
          <x14:cfRule type="expression" priority="5" stopIfTrue="1" id="{6FC9658E-F605-4154-ADB1-0A8C2D659E91}">
            <xm:f>COUNTIF('10a'!#REF!,"*=sumifs*")</xm:f>
            <x14:dxf>
              <fill>
                <patternFill>
                  <bgColor rgb="FF92D050"/>
                </patternFill>
              </fill>
            </x14:dxf>
          </x14:cfRule>
          <xm:sqref>K21</xm:sqref>
        </x14:conditionalFormatting>
        <x14:conditionalFormatting xmlns:xm="http://schemas.microsoft.com/office/excel/2006/main">
          <x14:cfRule type="expression" priority="4" stopIfTrue="1" id="{0D820B00-0EB2-484E-B7D7-79629CBFA71A}">
            <xm:f>COUNTIF('10a'!#REF!,"*=sumifs*")</xm:f>
            <x14:dxf>
              <fill>
                <patternFill>
                  <bgColor rgb="FF92D050"/>
                </patternFill>
              </fill>
            </x14:dxf>
          </x14:cfRule>
          <xm:sqref>K22</xm:sqref>
        </x14:conditionalFormatting>
        <x14:conditionalFormatting xmlns:xm="http://schemas.microsoft.com/office/excel/2006/main">
          <x14:cfRule type="expression" priority="2" stopIfTrue="1" id="{E504881D-A8C2-4173-AB5F-AEB0ECFC17F6}">
            <xm:f>COUNTIF('10a'!#REF!,"*=sumifs*")</xm:f>
            <x14:dxf>
              <fill>
                <patternFill>
                  <bgColor rgb="FF92D050"/>
                </patternFill>
              </fill>
            </x14:dxf>
          </x14:cfRule>
          <xm:sqref>K52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A03025-14C2-4F8F-B26F-E95167EB2068}"/>
</file>

<file path=customXml/itemProps2.xml><?xml version="1.0" encoding="utf-8"?>
<ds:datastoreItem xmlns:ds="http://schemas.openxmlformats.org/officeDocument/2006/customXml" ds:itemID="{CF0C7368-17D3-4C5D-A551-A8DB2F77C618}"/>
</file>

<file path=customXml/itemProps3.xml><?xml version="1.0" encoding="utf-8"?>
<ds:datastoreItem xmlns:ds="http://schemas.openxmlformats.org/officeDocument/2006/customXml" ds:itemID="{6E879B1F-68EE-41B9-8B43-B4CA1F4483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10a</vt:lpstr>
      <vt:lpstr>10b</vt:lpstr>
      <vt:lpstr>'10a'!Print_Titles</vt:lpstr>
      <vt:lpstr>'10b'!Print_Titles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cp:lastPrinted>2020-07-09T03:31:58Z</cp:lastPrinted>
  <dcterms:created xsi:type="dcterms:W3CDTF">2020-05-07T04:32:03Z</dcterms:created>
  <dcterms:modified xsi:type="dcterms:W3CDTF">2020-07-30T07:46:05Z</dcterms:modified>
</cp:coreProperties>
</file>