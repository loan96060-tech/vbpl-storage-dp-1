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13"/>
  <workbookPr defaultThemeVersion="166925"/>
  <mc:AlternateContent xmlns:mc="http://schemas.openxmlformats.org/markup-compatibility/2006">
    <mc:Choice Requires="x15">
      <x15ac:absPath xmlns:x15ac="http://schemas.microsoft.com/office/spreadsheetml/2010/11/ac" url="/Users/imac/Desktop/2026/357. QD he so dieu chinh gia dat/"/>
    </mc:Choice>
  </mc:AlternateContent>
  <xr:revisionPtr revIDLastSave="0" documentId="13_ncr:1_{8DCEE8FE-31DA-4B44-9582-039F7E0095B7}" xr6:coauthVersionLast="47" xr6:coauthVersionMax="47" xr10:uidLastSave="{00000000-0000-0000-0000-000000000000}"/>
  <bookViews>
    <workbookView xWindow="0" yWindow="500" windowWidth="28800" windowHeight="15600" xr2:uid="{00000000-000D-0000-FFFF-FFFF00000000}"/>
  </bookViews>
  <sheets>
    <sheet name="PL01-ODT" sheetId="1" r:id="rId1"/>
  </sheets>
  <definedNames>
    <definedName name="_xlnm._FilterDatabase" localSheetId="0" hidden="1">'PL01-ODT'!$A$6:$AE$70</definedName>
    <definedName name="_xlnm.Print_Titles" localSheetId="0">'PL01-ODT'!$4:$5</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R69" i="1" l="1"/>
  <c r="R70" i="1"/>
  <c r="R68" i="1"/>
  <c r="R14" i="1"/>
  <c r="R36" i="1"/>
  <c r="R37" i="1"/>
  <c r="R38" i="1"/>
  <c r="W62" i="1"/>
  <c r="X62" i="1"/>
  <c r="Y62" i="1"/>
  <c r="Z62" i="1"/>
  <c r="W63" i="1"/>
  <c r="X63" i="1"/>
  <c r="Y63" i="1"/>
  <c r="Z63" i="1"/>
  <c r="W64" i="1"/>
  <c r="X64" i="1"/>
  <c r="Y64" i="1"/>
  <c r="Z64" i="1"/>
  <c r="W65" i="1"/>
  <c r="X65" i="1"/>
  <c r="AB65" i="1" s="1"/>
  <c r="Y65" i="1"/>
  <c r="AC65" i="1" s="1"/>
  <c r="Z65" i="1"/>
  <c r="W66" i="1"/>
  <c r="X66" i="1"/>
  <c r="Y66" i="1"/>
  <c r="Z66" i="1"/>
  <c r="X61" i="1"/>
  <c r="Y61" i="1"/>
  <c r="Z61" i="1"/>
  <c r="W61" i="1"/>
  <c r="AD66" i="1" l="1"/>
  <c r="AC66" i="1"/>
  <c r="AB66" i="1"/>
  <c r="AC62" i="1"/>
  <c r="AB62" i="1"/>
  <c r="AC63" i="1"/>
  <c r="AB63" i="1"/>
  <c r="AD63" i="1"/>
  <c r="AD65" i="1"/>
  <c r="AD62" i="1"/>
  <c r="AD61" i="1"/>
  <c r="AB64" i="1"/>
  <c r="AB61" i="1"/>
  <c r="AC61" i="1"/>
  <c r="AC64" i="1"/>
  <c r="AD64" i="1"/>
  <c r="R63" i="1" l="1"/>
  <c r="R26" i="1"/>
  <c r="R27" i="1"/>
  <c r="R28" i="1"/>
  <c r="R29" i="1"/>
  <c r="R30" i="1"/>
  <c r="R31" i="1"/>
  <c r="R32" i="1"/>
  <c r="R33" i="1"/>
  <c r="R40" i="1"/>
  <c r="R41" i="1"/>
  <c r="R42" i="1"/>
  <c r="R54" i="1" l="1"/>
  <c r="R8" i="1"/>
  <c r="R9" i="1"/>
  <c r="R10" i="1"/>
  <c r="R11" i="1"/>
  <c r="R7" i="1"/>
  <c r="R39" i="1" l="1"/>
  <c r="R43" i="1"/>
  <c r="R44" i="1"/>
  <c r="R45" i="1"/>
  <c r="R46" i="1"/>
  <c r="R35" i="1"/>
  <c r="R16" i="1" l="1"/>
  <c r="R59" i="1" l="1"/>
  <c r="R58" i="1"/>
  <c r="R57" i="1"/>
  <c r="R56" i="1"/>
  <c r="R55" i="1"/>
  <c r="R53" i="1"/>
  <c r="R52" i="1"/>
  <c r="R51" i="1"/>
  <c r="R50" i="1"/>
  <c r="R49" i="1"/>
  <c r="R48" i="1"/>
  <c r="R17" i="1" l="1"/>
  <c r="R18" i="1"/>
  <c r="R19" i="1"/>
  <c r="R20" i="1"/>
  <c r="R21" i="1"/>
  <c r="R22" i="1"/>
  <c r="R23" i="1"/>
  <c r="R25" i="1" l="1"/>
  <c r="R62" i="1" l="1"/>
  <c r="R64" i="1"/>
  <c r="R65" i="1"/>
  <c r="R66" i="1"/>
  <c r="R61" i="1"/>
  <c r="R13" i="1" l="1"/>
</calcChain>
</file>

<file path=xl/sharedStrings.xml><?xml version="1.0" encoding="utf-8"?>
<sst xmlns="http://schemas.openxmlformats.org/spreadsheetml/2006/main" count="232" uniqueCount="166">
  <si>
    <t>Vị trí 1</t>
  </si>
  <si>
    <t>Vị trí 2</t>
  </si>
  <si>
    <t>Vị trí 3</t>
  </si>
  <si>
    <t>Vị trí 4</t>
  </si>
  <si>
    <t>Giá đất 
tương ứng (Bảng giá x hệ số)</t>
  </si>
  <si>
    <t>Đơn vị tính: 1000đ/m2</t>
  </si>
  <si>
    <t>Đoạn đường</t>
  </si>
  <si>
    <t>Từ</t>
  </si>
  <si>
    <t>Đến</t>
  </si>
  <si>
    <t>Số thứ tự trong Bảng giá đất theo Nghị quyết 85/NQ-HĐND</t>
  </si>
  <si>
    <t>Bảng giá đất theo Nghị quyết 85/NQ-HĐND của Hội đồng nhân dân thành phố</t>
  </si>
  <si>
    <t>Phụ lục 01: HỆ SỐ ĐIỀU CHỈNH GIÁ ĐẤT Ở TẠI ĐÔ THỊ TRÊN ĐỊA BÀN THÀNH PHỐ HẢI PHÒNG</t>
  </si>
  <si>
    <t>STT</t>
  </si>
  <si>
    <t>Đầu đường</t>
  </si>
  <si>
    <t>Cuối đường</t>
  </si>
  <si>
    <t>Ngã tư Cống Thị (nhà bà Liên)</t>
  </si>
  <si>
    <t>Hết nhà ông Lạc</t>
  </si>
  <si>
    <t>PHƯỜNG ĐỒ SƠN</t>
  </si>
  <si>
    <t>PHƯỜNG VIỆT HOÀ</t>
  </si>
  <si>
    <t>Quốc lộ 37</t>
  </si>
  <si>
    <t>PHƯỜNG CHU VĂN AN</t>
  </si>
  <si>
    <t>PHƯỜNG TRẦN HƯNG ĐẠO</t>
  </si>
  <si>
    <t xml:space="preserve">Quốc lộ 37 </t>
  </si>
  <si>
    <t xml:space="preserve">Quốc lộ 18 </t>
  </si>
  <si>
    <t>Ngã tư thương binh</t>
  </si>
  <si>
    <t>Đường Quốc lộ 37: Từ Ngã ba cổng làng Thanh Tân đến hết thôn Lương Quan và từ Cầu Trung Quê đến giáp Bắc Ninh</t>
  </si>
  <si>
    <t xml:space="preserve">Đầu đường </t>
  </si>
  <si>
    <t xml:space="preserve">Cuối đường </t>
  </si>
  <si>
    <t>Khu dân cư trung tâm văn hóa thể thao, thương mại và đô thị
Chí Linh (Trường Linh): Các lô giáp đường có mặt cắt Bn&gt;= 30m</t>
  </si>
  <si>
    <t>Khu dân cư trung tâm văn hóa thể thao, thương mại và đô thị Chí Linh (Trường Linh): Các lô giáp đường có mặt cắt 21,5m ≤Bn &lt;30m</t>
  </si>
  <si>
    <t>Khu dân cư trung tâm văn hóa thể thao, thương mại và đô thị Chí Linh (Trường Linh): Các lô giáp đường cómặt cắt 13,5m ≤Bn &lt; 21,5m</t>
  </si>
  <si>
    <t>Khu dân cư trung tâm văn hóa thể thao, thương mại và đô thị Chí Linh (Trường Linh): Các lô giáp đường còn lại</t>
  </si>
  <si>
    <t>PHƯỜNG LÊ ĐẠI HÀNH</t>
  </si>
  <si>
    <t>PHƯỜNG NGUYỄN ĐẠI NĂNG</t>
  </si>
  <si>
    <t xml:space="preserve">Phố Cầu Tống </t>
  </si>
  <si>
    <t xml:space="preserve">Hết Điểm dân cư Nam Hà </t>
  </si>
  <si>
    <t xml:space="preserve">Đoạn nối giữa Phố Cầu Tống -
Đường Tô Hiến Thành </t>
  </si>
  <si>
    <t xml:space="preserve">Đường Tô Hiến Thành </t>
  </si>
  <si>
    <t>Đường Tô Hiến Thành</t>
  </si>
  <si>
    <t>Thửa đất số 3 tờ bản đồ số 6 phường Nguyễn Đại Năng</t>
  </si>
  <si>
    <t>Hết nhà ông Trường (Thửa 11, tờ bản đồ 28 Nguyễn Đại Năng)</t>
  </si>
  <si>
    <t xml:space="preserve">Phố Thanh Bình </t>
  </si>
  <si>
    <t>Phố Nguyễn Bỉnh Khiêm</t>
  </si>
  <si>
    <t>Hết thửa đất số 89, tờ bản đồ số 6</t>
  </si>
  <si>
    <t xml:space="preserve">Phố Mỹ Động </t>
  </si>
  <si>
    <t>Hết thửa 143, tờ bản đồ 13 phường Nguyễn Đại Năng</t>
  </si>
  <si>
    <t xml:space="preserve">Thửa 142, tờ bản đồ 32
phường Nguyễn Đại Năng) </t>
  </si>
  <si>
    <t xml:space="preserve">Hết thửa 118, tờ bản đồ 32
phường Nguyễn Đại Năng) </t>
  </si>
  <si>
    <t>(Kèm theo Quyết định số:           /2026/QĐ-UBND ngày        tháng 6 năm 2026 của Uỷ ban nhân dân thành phố Hải Phòng)</t>
  </si>
  <si>
    <t>Trọn khu</t>
  </si>
  <si>
    <t>Quốc lộ 5</t>
  </si>
  <si>
    <t>Đường Lê Thánh Tông (QL18)</t>
  </si>
  <si>
    <t>Đoạn trong Tổ dân phố Mật Sơn</t>
  </si>
  <si>
    <t>Đoạn thuộc Tổ dân phố Tường</t>
  </si>
  <si>
    <t>Đoạn thuộc Tổ dân phố Trại Sen</t>
  </si>
  <si>
    <t>Đoạn thuộc Tổ dân phố Trại Thượng</t>
  </si>
  <si>
    <t>Đoạn thuộc Tổ dân phố Hữu Lộc</t>
  </si>
  <si>
    <t>Đường Trần Hưng Đạo</t>
  </si>
  <si>
    <t>Nguyễn Trãi</t>
  </si>
  <si>
    <t>Hữu Nghị</t>
  </si>
  <si>
    <t>Đường trong Tổ dân phố Trại Sen</t>
  </si>
  <si>
    <t>Đường trong Tổ dân phố Trại Thượng</t>
  </si>
  <si>
    <t>Đồng Niên</t>
  </si>
  <si>
    <t>Cầu vượt Đồng Niên</t>
  </si>
  <si>
    <t>Hết đình Đồng Niên</t>
  </si>
  <si>
    <t>Đường Tuệ Tĩnh/ĐT.394</t>
  </si>
  <si>
    <t>Giáp Quốc lộ 5</t>
  </si>
  <si>
    <t>Thửa đất số 9, tờ bản đồ số 156 (Ban chỉ huy quân sự huyện cũ)</t>
  </si>
  <si>
    <t>Đoạn giáp xã Mao Điền</t>
  </si>
  <si>
    <t>Thửa đất số 3, tờ bản đồ số
166</t>
  </si>
  <si>
    <t>Điểm dân cư Phú Hải</t>
  </si>
  <si>
    <t>Khu dân cư Cánh Màu; Phú Quý; Đào Xá; Đỗ Xá; Cao Xá</t>
  </si>
  <si>
    <t>Điểm dân cư số 01; Điểm dân cư Lò gạch</t>
  </si>
  <si>
    <t>Ngã Tư Giang</t>
  </si>
  <si>
    <t>KDC Kỹ Sơn Trên</t>
  </si>
  <si>
    <t>Chân cầu Bình</t>
  </si>
  <si>
    <t>Khu dân cư mới Đồng Giỏ: Các lô giáp đường có mặt cắt Bn = 29,5m</t>
  </si>
  <si>
    <t>Khu dân cư mới Đồng Giỏ: Các lô giáp đường có mặt cắt Bn = 19,0m</t>
  </si>
  <si>
    <t>Khu dân cư mới Đồng Giỏ: Các lô giáp đường có mặt cắt 15,5m ≥ Bn &gt;14m</t>
  </si>
  <si>
    <t>Khu dân cư mới Đồng Giỏ: Các lô giáp các đường còn lại trong KDC mới Đồng Giỏ</t>
  </si>
  <si>
    <t>Các đường, đoạn đường chính trong KDC Trụ Thượng</t>
  </si>
  <si>
    <t>Phố Nguyễn Uyên</t>
  </si>
  <si>
    <t>Ông Năng thửa đất số 88, tờ bản đồ số 32</t>
  </si>
  <si>
    <t>Phố Thành Vạn</t>
  </si>
  <si>
    <t>Nhà văn hóa Cầu Quan</t>
  </si>
  <si>
    <t>Ông Nghĩnh thửa đất số 1, tờ bản đồ số 27</t>
  </si>
  <si>
    <t>Các đường, đoạn đường chính trong  KDC Giang Thượng</t>
  </si>
  <si>
    <t>Các đường, đoạn đường chính  trong TDP An Bài</t>
  </si>
  <si>
    <t xml:space="preserve">Tuyến đường, phố, 
địa danh
</t>
  </si>
  <si>
    <t>Hết đất trụ sở Viện Kiểm sát Khu vực 12</t>
  </si>
  <si>
    <t>Đến hết công ty TNHH 
Hải Nam</t>
  </si>
  <si>
    <t>Thửa 76, tờ bản đồ số 18 phường Nguyễn Đại Năng</t>
  </si>
  <si>
    <t xml:space="preserve">Tiếp giáp địa giới hành chính phường Kinh Môn </t>
  </si>
  <si>
    <t>Đường (trung tâm phường Đồ Sơn)</t>
  </si>
  <si>
    <t>Đoạn từ công ty TNHH Hải Nam</t>
  </si>
  <si>
    <t>Cường</t>
  </si>
  <si>
    <t>Quảng</t>
  </si>
  <si>
    <t>Ghi chú</t>
  </si>
  <si>
    <t>Đề xuất của các địa phương</t>
  </si>
  <si>
    <t>PHƯỜNG KIẾN AN</t>
  </si>
  <si>
    <t>Hoàng Thiết Tâm</t>
  </si>
  <si>
    <t>Quân khu 3</t>
  </si>
  <si>
    <t>Cầu Kiến An</t>
  </si>
  <si>
    <t>Ngã tư Cống đôi</t>
  </si>
  <si>
    <t>Tây Sơn</t>
  </si>
  <si>
    <t>Giáp đường Trần Thành Ngọ</t>
  </si>
  <si>
    <t>Đồng Tâm</t>
  </si>
  <si>
    <t>Giáp đường Đồng Hoà</t>
  </si>
  <si>
    <t>Giáp đường Phương Khê</t>
  </si>
  <si>
    <t>Nguyễn Xiển</t>
  </si>
  <si>
    <t>Đỉnh núi Phù Liễn</t>
  </si>
  <si>
    <t>phiếu khảo sát; đường này có vị trí tương đương đường Tô Hiến Thành giá khoảng 30tr</t>
  </si>
  <si>
    <t>cùng trục với phố cầu Tống lợi thế tương đương nhau</t>
  </si>
  <si>
    <t>nối cùng với phố cầu Tống</t>
  </si>
  <si>
    <t>đang đầu tư mở rộng đường từ 7m lên 35m (02 chiều)</t>
  </si>
  <si>
    <t>GPMB đường Gia Bình Lạch Huyện; đường Mỹ Động tương đương với đường Thanh BÌnh</t>
  </si>
  <si>
    <t>GPMB đường Gia Bình Lạch Huyện; đang đầu tư mở rộng</t>
  </si>
  <si>
    <t>Điều chỉnh để bằng giá với Phương Khê, Lam Khê và phù hợp với PA giá BT đường gom QL10-QL5</t>
  </si>
  <si>
    <t>Có dự án mở rộng đường năm 2027; không có thông tin giá cụ thể để làm căn cứ đề xuất tăng</t>
  </si>
  <si>
    <t>Đường 398 (đoạn thuộc xã Lê Lợi cũ - đường Côn Sơn - Kiếp Bạc)</t>
  </si>
  <si>
    <t>Đường 398</t>
  </si>
  <si>
    <t>Nhà ông Toàn</t>
  </si>
  <si>
    <t>Chùa Bắc Đẩu</t>
  </si>
  <si>
    <t>Đường trong TDP Kim Điền, Dinh Sơn, Vạn Yên, Bắc Đẩu - Dược Sơn, Vườn Đào</t>
  </si>
  <si>
    <t>có dự án mở rộng nút giao đường Phố Văn giao với đường Đồng Niên (GPMB 03 hộ);
Căn cứ: Thông tin từ đấu giá mặt đường Việt Hòa và Tân Dân (tháng 5/2025)</t>
  </si>
  <si>
    <t>Phố Tân Phong</t>
  </si>
  <si>
    <t>Khu dân cư xã Đồng Lạc (Đồng Nội), Bà Xim thửa đất số 21 tờ bản đồ 31</t>
  </si>
  <si>
    <t>Tăng theo đường Nguyễn Uyên</t>
  </si>
  <si>
    <t>Không điều chỉnh</t>
  </si>
  <si>
    <t>Tháng 12/2025 có phê duyệt giá bồi thường VT1 là 18,1tr; VT2 là 13,03trđ; Tiếp tục phải GPMB để thực hiện dự án mở rộng đường 398 khu vực Kiếp Bạc</t>
  </si>
  <si>
    <t>Mới rải nhựa lại; có dự án TĐC hồ điều hòa Tây Sơn phải GPMB; đề xuất giá tương đường VT2 Trần Thành Ngọ</t>
  </si>
  <si>
    <t>Mới đầu tư nâng cấp, cải tạo; BT GPMB  Dự án đường bao quanh núi Thiên Văn có thu hồi 01 phần diện tích đất ở đường Nguyễn Xiển; đường Nguyễn Xiển tương đương vị trí 2 đường Trần Thành Ngọ nhưng là đường dốc lên núi nên đề xuất theo giá VT4 Trần Thành Ngọ</t>
  </si>
  <si>
    <t>- QĐ 480 phê duyệt giá cụ thể T11/2025; không phục vụ công tác BT GPMB.
- Không điều chỉnh hệ số.</t>
  </si>
  <si>
    <t>-  Dự kiến cuối năm đấu giá; thông tin đề nghị là giá đấu năm 2024;
- Không điều chỉnh hệ số</t>
  </si>
  <si>
    <t>- Liên quan đến giá bồi thường KDC Giáp sông Thuỷ Nông và Quốc lộ 18; đang BT VT1 đường QL18 là 24,7tr;
- Không điều chỉnh hệ số.</t>
  </si>
  <si>
    <t>Đề xuất theo giá BT dự án KĐT Hoàn Hảo;
- Không điều chỉnh hệ số.</t>
  </si>
  <si>
    <t>Liên quan đến giá bồi thường KĐT Văn an; giá bồi thường VT1 là 10tr</t>
  </si>
  <si>
    <t>Phục vụ GPMB mở rộng đường QL37 như ở trên</t>
  </si>
  <si>
    <t>Phục vụ GPMB mở rộng đền Nam Tào- Bắc Đẩu; đề xuất bằng VT2 đường 398</t>
  </si>
  <si>
    <t>- GPMB DA đường sắt HN-QN và đường Lạch Huyện - Gia BÌnh; đấu giá thasg 3/2026 KDC mới Đồng Triều (khu 1) giá 38,3trđ; điểm dân cư khu C-KDC Trụ thượng (không đường gom) giá 30,3 - 33,0trđ;
- Có cơ sở là kết quả dầu giá; điều chỉnh hệ số ở mức phù hợp để đảm bảo cân đói cả tuyến đường</t>
  </si>
  <si>
    <t>BT GPMB DA đường sắt HN-QN; căn cứ theo giá mặt đường VT1 đường trục chính để điều chỉnh;
- Điều chỉnh hệ số đản bảo cân đối với các tuyến phía trên</t>
  </si>
  <si>
    <t xml:space="preserve">Theo đánh giá của Phường: Đường Cầu Tống và Tô Hiến Thành là 01 đường trục chính của Phường, có lợi tế cao nhất nhưng Bảng giá lại dang thấp hơn đường Nguyễn Du (17 tr); do đó cần điều chỉnh hệ số để cân đối lại giá cho phù hợp với lợi thế. </t>
  </si>
  <si>
    <t>Điều chỉnh hệ số để đảm bảo cân đối khi điều chỉnh hệ số của đường Tô Hiến Thành;
Có GPMB đường Gia Bình - Lạch Huyện</t>
  </si>
  <si>
    <t xml:space="preserve">Ngã tư thương binh </t>
  </si>
  <si>
    <t>Đến Ngã 3 đường vào bãi Rễ (Hạt giao thông cũ)</t>
  </si>
  <si>
    <t>Hạt giao thông cũ</t>
  </si>
  <si>
    <t>Ngã ba An Lĩnh thuộc khu
dân cư Tiên Sơn</t>
  </si>
  <si>
    <t xml:space="preserve">Ngã ba An Lĩnh </t>
  </si>
  <si>
    <t xml:space="preserve">Cổng làng Thanh Tân và
Đoạn Thị Tứ Lê Lợi </t>
  </si>
  <si>
    <t xml:space="preserve">Có hợp đồng chuyển nhượng tháng 4/2026 tính đơn giá hơn 42tr; đang có dự án mở rộng cải tạo QL37 qua Khu Côn Sơn - Kiếp Bạc (từ QL18 đến giáp Bắc Ninh);
- Điều chỉnh hệ số để đảm bảo cân đối với đường QL18
- Dự án đường Kiếp Bạc đã bồi thường VT1 là 18trđ từ năm 2020
</t>
  </si>
  <si>
    <t>Đường Lý Thái Tổ</t>
  </si>
  <si>
    <t>Ngã tư Đoàn An điều dưỡng 
295 khu B)</t>
  </si>
  <si>
    <t>Ngã ba khu I (phố Vạn Sơn - Lý Thái Tổ - Lý Thánh Tông) Trug tâm tập huấn NV Ngân Hàng</t>
  </si>
  <si>
    <t>Đang Bồi thường giá là 35trđ</t>
  </si>
  <si>
    <t>PHƯỜNG KINH MÔN</t>
  </si>
  <si>
    <t>Đường Trần Liễu</t>
  </si>
  <si>
    <t>Chân cầu An Thái</t>
  </si>
  <si>
    <t>Giáp thửa đất ông Gặp thửa số 2, tờ BĐ 35)</t>
  </si>
  <si>
    <t>Phố Phạm Luận</t>
  </si>
  <si>
    <t>Giáp đất ông Hòe (Thửa số 01, tờ BĐĐC số 39)</t>
  </si>
  <si>
    <t>Giáp đất ông Luyến (Thửa số 651, tờ BĐĐC số 40) (KDC Ngư Uyên)</t>
  </si>
  <si>
    <t>Giáp đất ông Mạnh (Thửa số 624, tờ BĐĐC số 40) (KDC Ngư Uyên)</t>
  </si>
  <si>
    <t>Hết khu dân cư sau Lăng họ Phạm</t>
  </si>
  <si>
    <t>Quyết định giá đất cụ thể tính tiền bồi thường, hỗ trợ thực hiện dự án xây dựng tuyến đường giao thông kết nối Quốc lộ 17B với cầu Dinh duyệt ngày 17/02/2025</t>
  </si>
  <si>
    <t>Quyết định giá đất cụ thể tính tiền bồi thường, hỗ trợ thực hiện dự án xây dựng tuyến đường giao thông kết nối Quốc lộ 17B (tỉnh Hải Dương) với đường tỉnh 352 (thành phố Hải Phòng) đoạn từ Quốc lộ 17B đến đê sông Kinh Thầy, thị xã Kinh Môn duyệt ngày 17/02/2025</t>
  </si>
  <si>
    <t xml:space="preserve"> Hệ số điều chỉnh giá đất năm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</si>
</sst>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0.00_);_(* \(#,##0.00\);_(* &quot;-&quot;??_);_(@_)"/>
  </numFmts>
  <fonts count="14">
    <font>
      <sz val="12"/>
      <color theme="1"/>
      <name val="Times New Roman"/>
      <family val="2"/>
    </font>
    <font>
      <sz val="13"/>
      <color theme="1"/>
      <name val="Times New Roman"/>
      <family val="2"/>
    </font>
    <font>
      <b/>
      <sz val="13"/>
      <color theme="1"/>
      <name val="Times New Roman"/>
      <family val="1"/>
    </font>
    <font>
      <i/>
      <sz val="13"/>
      <color theme="1"/>
      <name val="Times New Roman"/>
      <family val="1"/>
    </font>
    <font>
      <sz val="12"/>
      <color theme="1"/>
      <name val="Times New Roman"/>
      <family val="2"/>
    </font>
    <font>
      <sz val="13"/>
      <color theme="1"/>
      <name val="Times New Roman"/>
      <family val="1"/>
    </font>
    <font>
      <sz val="13"/>
      <color rgb="FF000000"/>
      <name val="TimesNewRoman"/>
    </font>
    <font>
      <sz val="13"/>
      <color theme="1"/>
      <name val="TimesNewRoman"/>
    </font>
    <font>
      <sz val="13"/>
      <name val="Times New Roman"/>
      <family val="2"/>
    </font>
    <font>
      <sz val="13"/>
      <color theme="1"/>
      <name val="Times New Roman"/>
      <family val="1"/>
      <charset val="163"/>
    </font>
    <font>
      <sz val="13"/>
      <name val="Times New Roman"/>
      <family val="1"/>
    </font>
    <font>
      <b/>
      <sz val="13"/>
      <color rgb="FFFF0000"/>
      <name val="Times New Roman"/>
      <family val="1"/>
    </font>
    <font>
      <b/>
      <sz val="13"/>
      <name val="Times New Roman"/>
      <family val="1"/>
    </font>
    <font>
      <sz val="13"/>
      <color rgb="FF000000"/>
      <name val="Times New Roman"/>
      <family val="1"/>
    </font>
  </fonts>
  <fills count="2">
    <fill>
      <patternFill patternType="none"/>
    </fill>
    <fill>
      <patternFill patternType="gray125"/>
    </fill>
  </fills>
  <borders count="6">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3">
    <xf numFmtId="0" fontId="0" fillId="0" borderId="0"/>
    <xf numFmtId="43" fontId="4" fillId="0" borderId="0" applyFont="0" applyFill="0" applyBorder="0" applyAlignment="0" applyProtection="0"/>
    <xf numFmtId="9" fontId="4" fillId="0" borderId="0" applyFont="0" applyFill="0" applyBorder="0" applyAlignment="0" applyProtection="0"/>
  </cellStyleXfs>
  <cellXfs count="80">
    <xf numFmtId="0" fontId="0" fillId="0" borderId="0" xfId="0"/>
    <xf numFmtId="3" fontId="1" fillId="0" borderId="1" xfId="1" applyNumberFormat="1" applyFont="1" applyFill="1" applyBorder="1" applyAlignment="1">
      <alignment horizontal="center" vertical="center" wrapText="1"/>
    </xf>
    <xf numFmtId="3" fontId="2" fillId="0" borderId="1" xfId="1" applyNumberFormat="1" applyFont="1" applyFill="1" applyBorder="1" applyAlignment="1">
      <alignment horizontal="center" vertical="center" wrapText="1"/>
    </xf>
    <xf numFmtId="4" fontId="1" fillId="0" borderId="1" xfId="1" applyNumberFormat="1" applyFont="1" applyFill="1" applyBorder="1" applyAlignment="1">
      <alignment horizontal="center" vertical="center" wrapText="1"/>
    </xf>
    <xf numFmtId="4" fontId="8" fillId="0" borderId="1" xfId="1" applyNumberFormat="1" applyFont="1" applyFill="1" applyBorder="1" applyAlignment="1">
      <alignment horizontal="center" vertical="center" wrapText="1"/>
    </xf>
    <xf numFmtId="0" fontId="1" fillId="0" borderId="0" xfId="0" applyFont="1" applyFill="1" applyAlignment="1">
      <alignment horizontal="center" vertical="center" wrapText="1"/>
    </xf>
    <xf numFmtId="0" fontId="2" fillId="0" borderId="0" xfId="0" applyFont="1" applyFill="1" applyAlignment="1">
      <alignment horizontal="center" vertical="center" wrapText="1"/>
    </xf>
    <xf numFmtId="0" fontId="5" fillId="0" borderId="0" xfId="0" applyFont="1" applyFill="1" applyAlignment="1">
      <alignment horizontal="center" vertical="center" wrapText="1"/>
    </xf>
    <xf numFmtId="0" fontId="1" fillId="0" borderId="0" xfId="0" applyFont="1" applyFill="1" applyAlignment="1">
      <alignment wrapText="1"/>
    </xf>
    <xf numFmtId="0" fontId="1" fillId="0" borderId="0" xfId="0" applyFont="1" applyFill="1"/>
    <xf numFmtId="3" fontId="1" fillId="0" borderId="0" xfId="0" applyNumberFormat="1" applyFont="1" applyFill="1"/>
    <xf numFmtId="0" fontId="3" fillId="0" borderId="0" xfId="0" applyFont="1" applyFill="1" applyAlignment="1">
      <alignment horizontal="center" vertical="center" wrapText="1"/>
    </xf>
    <xf numFmtId="3" fontId="1" fillId="0" borderId="0" xfId="0" applyNumberFormat="1" applyFont="1" applyFill="1" applyAlignment="1">
      <alignment horizontal="center" vertical="center" wrapText="1"/>
    </xf>
    <xf numFmtId="4" fontId="1" fillId="0" borderId="0" xfId="0" applyNumberFormat="1" applyFont="1" applyFill="1" applyAlignment="1">
      <alignment horizontal="center" vertical="center" wrapText="1"/>
    </xf>
    <xf numFmtId="0" fontId="3" fillId="0" borderId="2" xfId="0" applyFont="1" applyFill="1" applyBorder="1" applyAlignment="1">
      <alignment horizontal="center" vertical="center" wrapText="1"/>
    </xf>
    <xf numFmtId="0" fontId="2" fillId="0" borderId="1" xfId="0" applyFont="1" applyFill="1" applyBorder="1" applyAlignment="1">
      <alignment horizontal="center" vertical="center" wrapText="1"/>
    </xf>
    <xf numFmtId="3" fontId="2" fillId="0" borderId="1" xfId="0" applyNumberFormat="1" applyFont="1" applyFill="1" applyBorder="1" applyAlignment="1">
      <alignment horizontal="center" vertical="center" wrapText="1"/>
    </xf>
    <xf numFmtId="4" fontId="2" fillId="0" borderId="1" xfId="0" applyNumberFormat="1" applyFont="1" applyFill="1" applyBorder="1" applyAlignment="1">
      <alignment horizontal="center" vertical="center" wrapText="1"/>
    </xf>
    <xf numFmtId="3" fontId="2" fillId="0" borderId="1" xfId="0" applyNumberFormat="1" applyFont="1" applyFill="1" applyBorder="1" applyAlignment="1">
      <alignment horizontal="center" vertical="center" wrapText="1"/>
    </xf>
    <xf numFmtId="0" fontId="2" fillId="0" borderId="1" xfId="0" applyFont="1" applyFill="1" applyBorder="1" applyAlignment="1">
      <alignment horizontal="center" vertical="center" wrapText="1"/>
    </xf>
    <xf numFmtId="4" fontId="2" fillId="0" borderId="1" xfId="0" applyNumberFormat="1" applyFont="1" applyFill="1" applyBorder="1" applyAlignment="1">
      <alignment horizontal="center" vertical="center" wrapText="1"/>
    </xf>
    <xf numFmtId="0" fontId="5" fillId="0" borderId="1" xfId="0" applyFont="1" applyFill="1" applyBorder="1" applyAlignment="1">
      <alignment horizontal="center" vertical="center" wrapText="1"/>
    </xf>
    <xf numFmtId="0" fontId="2" fillId="0" borderId="1" xfId="0" applyFont="1" applyFill="1" applyBorder="1" applyAlignment="1">
      <alignment horizontal="left" vertical="center" wrapText="1"/>
    </xf>
    <xf numFmtId="4" fontId="11" fillId="0" borderId="1" xfId="0" applyNumberFormat="1" applyFont="1" applyFill="1" applyBorder="1" applyAlignment="1">
      <alignment horizontal="center" vertical="center" wrapText="1"/>
    </xf>
    <xf numFmtId="0" fontId="2" fillId="0" borderId="0" xfId="0" applyFont="1" applyFill="1" applyAlignment="1">
      <alignment horizontal="center" vertical="center" wrapText="1"/>
    </xf>
    <xf numFmtId="0" fontId="2" fillId="0" borderId="0" xfId="0" applyFont="1" applyFill="1" applyAlignment="1">
      <alignment wrapText="1"/>
    </xf>
    <xf numFmtId="0" fontId="2" fillId="0" borderId="0" xfId="0" applyFont="1" applyFill="1"/>
    <xf numFmtId="3" fontId="2" fillId="0" borderId="0" xfId="0" applyNumberFormat="1" applyFont="1" applyFill="1"/>
    <xf numFmtId="0" fontId="5" fillId="0" borderId="1" xfId="0" applyFont="1" applyFill="1" applyBorder="1" applyAlignment="1">
      <alignment horizontal="left" vertical="center" wrapText="1"/>
    </xf>
    <xf numFmtId="3" fontId="5" fillId="0" borderId="1" xfId="0" applyNumberFormat="1" applyFont="1" applyFill="1" applyBorder="1" applyAlignment="1">
      <alignment horizontal="right" vertical="center" wrapText="1"/>
    </xf>
    <xf numFmtId="4" fontId="5" fillId="0" borderId="1" xfId="0" applyNumberFormat="1" applyFont="1" applyFill="1" applyBorder="1" applyAlignment="1">
      <alignment horizontal="center" vertical="center" wrapText="1"/>
    </xf>
    <xf numFmtId="3" fontId="5" fillId="0" borderId="1" xfId="0" applyNumberFormat="1" applyFont="1" applyFill="1" applyBorder="1" applyAlignment="1">
      <alignment horizontal="center" vertical="center" wrapText="1"/>
    </xf>
    <xf numFmtId="0" fontId="5" fillId="0" borderId="3" xfId="0" applyFont="1" applyFill="1" applyBorder="1" applyAlignment="1">
      <alignment horizontal="center" vertical="center" wrapText="1"/>
    </xf>
    <xf numFmtId="0" fontId="5" fillId="0" borderId="5" xfId="0" applyFont="1" applyFill="1" applyBorder="1" applyAlignment="1">
      <alignment horizontal="center" vertical="center" wrapText="1"/>
    </xf>
    <xf numFmtId="4" fontId="10" fillId="0" borderId="1" xfId="0" applyNumberFormat="1" applyFont="1" applyFill="1" applyBorder="1" applyAlignment="1">
      <alignment horizontal="center" vertical="center" wrapText="1"/>
    </xf>
    <xf numFmtId="0" fontId="5" fillId="0" borderId="1" xfId="0" applyFont="1" applyFill="1" applyBorder="1" applyAlignment="1">
      <alignment vertical="center" wrapText="1"/>
    </xf>
    <xf numFmtId="4" fontId="12" fillId="0" borderId="1" xfId="0" applyNumberFormat="1" applyFont="1" applyFill="1" applyBorder="1" applyAlignment="1">
      <alignment horizontal="center" vertical="center" wrapText="1"/>
    </xf>
    <xf numFmtId="3" fontId="5" fillId="0" borderId="1" xfId="0" applyNumberFormat="1" applyFont="1" applyFill="1" applyBorder="1" applyAlignment="1">
      <alignment horizontal="center" vertical="center"/>
    </xf>
    <xf numFmtId="0" fontId="5" fillId="0" borderId="3" xfId="0" applyFont="1" applyFill="1" applyBorder="1" applyAlignment="1">
      <alignment horizontal="center" vertical="center" wrapText="1"/>
    </xf>
    <xf numFmtId="0" fontId="1" fillId="0" borderId="1" xfId="0" applyFont="1" applyFill="1" applyBorder="1" applyAlignment="1">
      <alignment horizontal="center" vertical="center" wrapText="1"/>
    </xf>
    <xf numFmtId="0" fontId="7" fillId="0" borderId="1" xfId="0" applyFont="1" applyFill="1" applyBorder="1" applyAlignment="1">
      <alignment vertical="center" wrapText="1"/>
    </xf>
    <xf numFmtId="0" fontId="7" fillId="0" borderId="1" xfId="0" applyFont="1" applyFill="1" applyBorder="1" applyAlignment="1">
      <alignment horizontal="center" vertical="center" wrapText="1"/>
    </xf>
    <xf numFmtId="0" fontId="9" fillId="0" borderId="1" xfId="0" applyFont="1" applyFill="1" applyBorder="1" applyAlignment="1">
      <alignment horizontal="center" vertical="center" wrapText="1"/>
    </xf>
    <xf numFmtId="3" fontId="9" fillId="0" borderId="1" xfId="0" applyNumberFormat="1" applyFont="1" applyFill="1" applyBorder="1" applyAlignment="1">
      <alignment horizontal="center" vertical="center"/>
    </xf>
    <xf numFmtId="4" fontId="1" fillId="0" borderId="1" xfId="0" applyNumberFormat="1" applyFont="1" applyFill="1" applyBorder="1" applyAlignment="1">
      <alignment horizontal="center" vertical="center" wrapText="1"/>
    </xf>
    <xf numFmtId="0" fontId="5" fillId="0" borderId="3" xfId="0" quotePrefix="1" applyFont="1" applyFill="1" applyBorder="1" applyAlignment="1">
      <alignment horizontal="center" vertical="center" wrapText="1"/>
    </xf>
    <xf numFmtId="0" fontId="9" fillId="0" borderId="1" xfId="0" applyFont="1" applyFill="1" applyBorder="1" applyAlignment="1">
      <alignment vertical="center" wrapText="1"/>
    </xf>
    <xf numFmtId="0" fontId="5" fillId="0" borderId="4" xfId="0" applyFont="1" applyFill="1" applyBorder="1" applyAlignment="1">
      <alignment horizontal="center" vertical="center" wrapText="1"/>
    </xf>
    <xf numFmtId="0" fontId="1" fillId="0" borderId="1" xfId="0" applyFont="1" applyFill="1" applyBorder="1" applyAlignment="1">
      <alignment horizontal="left" vertical="center" wrapText="1"/>
    </xf>
    <xf numFmtId="3" fontId="1" fillId="0" borderId="1" xfId="0" applyNumberFormat="1" applyFont="1" applyFill="1" applyBorder="1" applyAlignment="1">
      <alignment horizontal="center" vertical="center" wrapText="1"/>
    </xf>
    <xf numFmtId="0" fontId="2" fillId="0" borderId="1" xfId="0" applyFont="1" applyFill="1" applyBorder="1" applyAlignment="1">
      <alignment horizontal="center" vertical="center"/>
    </xf>
    <xf numFmtId="0" fontId="2" fillId="0" borderId="1" xfId="0" applyFont="1" applyFill="1" applyBorder="1" applyAlignment="1">
      <alignment vertical="center" wrapText="1"/>
    </xf>
    <xf numFmtId="0" fontId="8" fillId="0" borderId="1" xfId="0" applyFont="1" applyFill="1" applyBorder="1" applyAlignment="1">
      <alignment horizontal="center" vertical="center" wrapText="1"/>
    </xf>
    <xf numFmtId="0" fontId="8" fillId="0" borderId="1" xfId="0" applyFont="1" applyFill="1" applyBorder="1" applyAlignment="1">
      <alignment horizontal="left" vertical="center" wrapText="1"/>
    </xf>
    <xf numFmtId="0" fontId="8" fillId="0" borderId="1" xfId="0" applyFont="1" applyFill="1" applyBorder="1" applyAlignment="1">
      <alignment horizontal="center" vertical="center" wrapText="1"/>
    </xf>
    <xf numFmtId="3" fontId="8" fillId="0" borderId="1" xfId="0" applyNumberFormat="1" applyFont="1" applyFill="1" applyBorder="1" applyAlignment="1">
      <alignment horizontal="center" vertical="center" wrapText="1"/>
    </xf>
    <xf numFmtId="4" fontId="8" fillId="0" borderId="1" xfId="0" applyNumberFormat="1" applyFont="1" applyFill="1" applyBorder="1" applyAlignment="1">
      <alignment horizontal="center" vertical="center" wrapText="1"/>
    </xf>
    <xf numFmtId="0" fontId="2" fillId="0" borderId="0" xfId="0" applyFont="1" applyFill="1" applyAlignment="1">
      <alignment horizontal="center" wrapText="1"/>
    </xf>
    <xf numFmtId="0" fontId="1" fillId="0" borderId="1" xfId="0" applyFont="1" applyFill="1" applyBorder="1" applyAlignment="1">
      <alignment horizontal="center" vertical="center"/>
    </xf>
    <xf numFmtId="0" fontId="1" fillId="0" borderId="1" xfId="0" applyFont="1" applyFill="1" applyBorder="1" applyAlignment="1">
      <alignment vertical="center" wrapText="1"/>
    </xf>
    <xf numFmtId="0" fontId="13" fillId="0" borderId="1" xfId="0" applyFont="1" applyFill="1" applyBorder="1" applyAlignment="1">
      <alignment horizontal="center" vertical="center" wrapText="1"/>
    </xf>
    <xf numFmtId="0" fontId="13" fillId="0" borderId="1" xfId="0" applyFont="1" applyFill="1" applyBorder="1" applyAlignment="1">
      <alignment horizontal="left" vertical="center" wrapText="1"/>
    </xf>
    <xf numFmtId="0" fontId="13" fillId="0" borderId="1" xfId="0" applyFont="1" applyFill="1" applyBorder="1" applyAlignment="1">
      <alignment vertical="center" wrapText="1"/>
    </xf>
    <xf numFmtId="0" fontId="5" fillId="0" borderId="4" xfId="0" applyFont="1" applyFill="1" applyBorder="1" applyAlignment="1">
      <alignment horizontal="center" vertical="center" wrapText="1"/>
    </xf>
    <xf numFmtId="0" fontId="10" fillId="0" borderId="1" xfId="0" applyFont="1" applyFill="1" applyBorder="1" applyAlignment="1">
      <alignment horizontal="center" vertical="center" wrapText="1"/>
    </xf>
    <xf numFmtId="0" fontId="10" fillId="0" borderId="1" xfId="0" applyFont="1" applyFill="1" applyBorder="1" applyAlignment="1">
      <alignment vertical="center" wrapText="1"/>
    </xf>
    <xf numFmtId="3" fontId="10" fillId="0" borderId="1" xfId="0" applyNumberFormat="1" applyFont="1" applyFill="1" applyBorder="1" applyAlignment="1">
      <alignment horizontal="center" vertical="center" wrapText="1"/>
    </xf>
    <xf numFmtId="0" fontId="2" fillId="0" borderId="1" xfId="0" applyFont="1" applyFill="1" applyBorder="1"/>
    <xf numFmtId="3" fontId="2" fillId="0" borderId="1" xfId="0" applyNumberFormat="1" applyFont="1" applyFill="1" applyBorder="1"/>
    <xf numFmtId="3" fontId="7" fillId="0" borderId="1" xfId="0" applyNumberFormat="1" applyFont="1" applyFill="1" applyBorder="1" applyAlignment="1">
      <alignment horizontal="center" vertical="center" wrapText="1"/>
    </xf>
    <xf numFmtId="0" fontId="5" fillId="0" borderId="1" xfId="0" applyFont="1" applyFill="1" applyBorder="1" applyAlignment="1">
      <alignment horizontal="center" vertical="center" wrapText="1"/>
    </xf>
    <xf numFmtId="0" fontId="1" fillId="0" borderId="1" xfId="0" applyFont="1" applyFill="1" applyBorder="1"/>
    <xf numFmtId="3" fontId="1" fillId="0" borderId="1" xfId="0" applyNumberFormat="1" applyFont="1" applyFill="1" applyBorder="1"/>
    <xf numFmtId="9" fontId="1" fillId="0" borderId="1" xfId="2" applyFont="1" applyFill="1" applyBorder="1"/>
    <xf numFmtId="0" fontId="6" fillId="0" borderId="1" xfId="0" applyFont="1" applyFill="1" applyBorder="1" applyAlignment="1">
      <alignment horizontal="center" vertical="center" wrapText="1"/>
    </xf>
    <xf numFmtId="3" fontId="6" fillId="0" borderId="1" xfId="0" applyNumberFormat="1" applyFont="1" applyFill="1" applyBorder="1" applyAlignment="1">
      <alignment horizontal="center" vertical="center" wrapText="1"/>
    </xf>
    <xf numFmtId="3" fontId="1" fillId="0" borderId="1" xfId="0" applyNumberFormat="1" applyFont="1" applyFill="1" applyBorder="1" applyAlignment="1">
      <alignment horizontal="center"/>
    </xf>
    <xf numFmtId="4" fontId="1" fillId="0" borderId="1" xfId="0" applyNumberFormat="1" applyFont="1" applyFill="1" applyBorder="1" applyAlignment="1">
      <alignment horizontal="center"/>
    </xf>
    <xf numFmtId="3" fontId="1" fillId="0" borderId="0" xfId="0" applyNumberFormat="1" applyFont="1" applyFill="1" applyAlignment="1">
      <alignment horizontal="center"/>
    </xf>
    <xf numFmtId="4" fontId="1" fillId="0" borderId="0" xfId="0" applyNumberFormat="1" applyFont="1" applyFill="1" applyAlignment="1">
      <alignment horizontal="center"/>
    </xf>
  </cellXfs>
  <cellStyles count="3">
    <cellStyle name="Comma" xfId="1" builtinId="3"/>
    <cellStyle name="Normal" xfId="0" builtinId="0"/>
    <cellStyle name="Percent"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AE71"/>
  <sheetViews>
    <sheetView tabSelected="1" view="pageBreakPreview" topLeftCell="A4" zoomScale="60" zoomScaleNormal="70" workbookViewId="0">
      <pane xSplit="3" ySplit="2" topLeftCell="D6" activePane="bottomRight" state="frozen"/>
      <selection activeCell="A4" sqref="A4"/>
      <selection pane="topRight" activeCell="D4" sqref="D4"/>
      <selection pane="bottomLeft" activeCell="A6" sqref="A6"/>
      <selection pane="bottomRight" activeCell="A4" sqref="A1:XFD1048576"/>
    </sheetView>
  </sheetViews>
  <sheetFormatPr baseColWidth="10" defaultColWidth="9" defaultRowHeight="17"/>
  <cols>
    <col min="1" max="1" width="7" style="5" customWidth="1"/>
    <col min="2" max="2" width="13.1640625" style="9" customWidth="1"/>
    <col min="3" max="3" width="34.83203125" style="9" customWidth="1"/>
    <col min="4" max="4" width="24.1640625" style="5" customWidth="1"/>
    <col min="5" max="5" width="25.1640625" style="5" customWidth="1"/>
    <col min="6" max="9" width="11.1640625" style="78" customWidth="1"/>
    <col min="10" max="13" width="10.1640625" style="78" hidden="1" customWidth="1"/>
    <col min="14" max="17" width="9.1640625" style="79" customWidth="1"/>
    <col min="18" max="18" width="14.83203125" style="78" hidden="1" customWidth="1"/>
    <col min="19" max="19" width="39.6640625" style="7" customWidth="1"/>
    <col min="20" max="20" width="11.1640625" style="5" hidden="1" customWidth="1"/>
    <col min="21" max="21" width="26.1640625" style="8" hidden="1" customWidth="1"/>
    <col min="22" max="22" width="0" style="9" hidden="1" customWidth="1"/>
    <col min="23" max="29" width="0" style="10" hidden="1" customWidth="1"/>
    <col min="30" max="31" width="0" style="9" hidden="1" customWidth="1"/>
    <col min="32" max="16384" width="9" style="9"/>
  </cols>
  <sheetData>
    <row r="1" spans="1:29" ht="24.75" customHeight="1">
      <c r="B1" s="6" t="s">
        <v>11</v>
      </c>
      <c r="C1" s="6"/>
      <c r="D1" s="6"/>
      <c r="E1" s="6"/>
      <c r="F1" s="6"/>
      <c r="G1" s="6"/>
      <c r="H1" s="6"/>
      <c r="I1" s="6"/>
      <c r="J1" s="6"/>
      <c r="K1" s="6"/>
      <c r="L1" s="6"/>
      <c r="M1" s="6"/>
      <c r="N1" s="6"/>
      <c r="O1" s="6"/>
      <c r="P1" s="6"/>
      <c r="Q1" s="6"/>
      <c r="R1" s="6"/>
    </row>
    <row r="2" spans="1:29" ht="16.5" customHeight="1">
      <c r="B2" s="11" t="s">
        <v>48</v>
      </c>
      <c r="C2" s="11"/>
      <c r="D2" s="11"/>
      <c r="E2" s="11"/>
      <c r="F2" s="11"/>
      <c r="G2" s="11"/>
      <c r="H2" s="11"/>
      <c r="I2" s="11"/>
      <c r="J2" s="11"/>
      <c r="K2" s="11"/>
      <c r="L2" s="11"/>
      <c r="M2" s="11"/>
      <c r="N2" s="11"/>
      <c r="O2" s="11"/>
      <c r="P2" s="11"/>
      <c r="Q2" s="11"/>
      <c r="R2" s="11"/>
    </row>
    <row r="3" spans="1:29" ht="21" customHeight="1">
      <c r="B3" s="5"/>
      <c r="C3" s="5"/>
      <c r="F3" s="12"/>
      <c r="G3" s="12"/>
      <c r="H3" s="12"/>
      <c r="I3" s="12"/>
      <c r="J3" s="12"/>
      <c r="K3" s="12"/>
      <c r="L3" s="12"/>
      <c r="M3" s="12"/>
      <c r="N3" s="13"/>
      <c r="O3" s="13"/>
      <c r="P3" s="14" t="s">
        <v>5</v>
      </c>
      <c r="Q3" s="14"/>
      <c r="R3" s="14"/>
    </row>
    <row r="4" spans="1:29" ht="74.25" customHeight="1">
      <c r="A4" s="15" t="s">
        <v>12</v>
      </c>
      <c r="B4" s="15" t="s">
        <v>9</v>
      </c>
      <c r="C4" s="15" t="s">
        <v>88</v>
      </c>
      <c r="D4" s="15" t="s">
        <v>6</v>
      </c>
      <c r="E4" s="15"/>
      <c r="F4" s="16" t="s">
        <v>10</v>
      </c>
      <c r="G4" s="16"/>
      <c r="H4" s="16"/>
      <c r="I4" s="16"/>
      <c r="J4" s="17" t="s">
        <v>98</v>
      </c>
      <c r="K4" s="17"/>
      <c r="L4" s="17"/>
      <c r="M4" s="17"/>
      <c r="N4" s="17" t="s">
        <v>165</v>
      </c>
      <c r="O4" s="17"/>
      <c r="P4" s="17"/>
      <c r="Q4" s="17"/>
      <c r="R4" s="18" t="s">
        <v>4</v>
      </c>
      <c r="S4" s="19" t="s">
        <v>97</v>
      </c>
    </row>
    <row r="5" spans="1:29" ht="67.5" customHeight="1">
      <c r="A5" s="15"/>
      <c r="B5" s="15"/>
      <c r="C5" s="15"/>
      <c r="D5" s="19" t="s">
        <v>7</v>
      </c>
      <c r="E5" s="19" t="s">
        <v>8</v>
      </c>
      <c r="F5" s="18" t="s">
        <v>0</v>
      </c>
      <c r="G5" s="18" t="s">
        <v>1</v>
      </c>
      <c r="H5" s="18" t="s">
        <v>2</v>
      </c>
      <c r="I5" s="18" t="s">
        <v>3</v>
      </c>
      <c r="J5" s="20" t="s">
        <v>0</v>
      </c>
      <c r="K5" s="20" t="s">
        <v>1</v>
      </c>
      <c r="L5" s="20" t="s">
        <v>2</v>
      </c>
      <c r="M5" s="20" t="s">
        <v>3</v>
      </c>
      <c r="N5" s="20" t="s">
        <v>0</v>
      </c>
      <c r="O5" s="20" t="s">
        <v>1</v>
      </c>
      <c r="P5" s="20" t="s">
        <v>2</v>
      </c>
      <c r="Q5" s="20" t="s">
        <v>3</v>
      </c>
      <c r="R5" s="18" t="s">
        <v>0</v>
      </c>
      <c r="S5" s="21"/>
    </row>
    <row r="6" spans="1:29" s="26" customFormat="1" ht="32.25" customHeight="1">
      <c r="A6" s="19">
        <v>1</v>
      </c>
      <c r="B6" s="19"/>
      <c r="C6" s="22" t="s">
        <v>99</v>
      </c>
      <c r="D6" s="19"/>
      <c r="E6" s="19"/>
      <c r="F6" s="18"/>
      <c r="G6" s="18"/>
      <c r="H6" s="18"/>
      <c r="I6" s="18"/>
      <c r="J6" s="20"/>
      <c r="K6" s="20"/>
      <c r="L6" s="20"/>
      <c r="M6" s="20"/>
      <c r="N6" s="23"/>
      <c r="O6" s="20"/>
      <c r="P6" s="20"/>
      <c r="Q6" s="20"/>
      <c r="R6" s="18"/>
      <c r="S6" s="19"/>
      <c r="T6" s="24"/>
      <c r="U6" s="25"/>
      <c r="W6" s="27"/>
      <c r="X6" s="27"/>
      <c r="Y6" s="27"/>
      <c r="Z6" s="27"/>
      <c r="AA6" s="27"/>
      <c r="AB6" s="27"/>
      <c r="AC6" s="27"/>
    </row>
    <row r="7" spans="1:29" s="26" customFormat="1" ht="32.25" customHeight="1">
      <c r="A7" s="19"/>
      <c r="B7" s="21">
        <v>11</v>
      </c>
      <c r="C7" s="28" t="s">
        <v>100</v>
      </c>
      <c r="D7" s="28" t="s">
        <v>101</v>
      </c>
      <c r="E7" s="28" t="s">
        <v>102</v>
      </c>
      <c r="F7" s="29">
        <v>20000</v>
      </c>
      <c r="G7" s="29">
        <v>12000</v>
      </c>
      <c r="H7" s="29">
        <v>10000</v>
      </c>
      <c r="I7" s="29">
        <v>8000</v>
      </c>
      <c r="J7" s="30">
        <v>1.5</v>
      </c>
      <c r="K7" s="30">
        <v>1.5</v>
      </c>
      <c r="L7" s="30">
        <v>1.5</v>
      </c>
      <c r="M7" s="30">
        <v>1.5</v>
      </c>
      <c r="N7" s="30">
        <v>1</v>
      </c>
      <c r="O7" s="30">
        <v>1</v>
      </c>
      <c r="P7" s="30">
        <v>1</v>
      </c>
      <c r="Q7" s="30">
        <v>1</v>
      </c>
      <c r="R7" s="31">
        <f>N7*F7</f>
        <v>20000</v>
      </c>
      <c r="S7" s="32" t="s">
        <v>118</v>
      </c>
      <c r="T7" s="24"/>
      <c r="U7" s="25"/>
      <c r="W7" s="27"/>
      <c r="X7" s="27"/>
      <c r="Y7" s="27"/>
      <c r="Z7" s="27"/>
      <c r="AA7" s="27"/>
      <c r="AB7" s="27"/>
      <c r="AC7" s="27"/>
    </row>
    <row r="8" spans="1:29" s="26" customFormat="1" ht="32.25" customHeight="1">
      <c r="A8" s="19"/>
      <c r="B8" s="21">
        <v>12</v>
      </c>
      <c r="C8" s="28" t="s">
        <v>100</v>
      </c>
      <c r="D8" s="28" t="s">
        <v>102</v>
      </c>
      <c r="E8" s="28" t="s">
        <v>103</v>
      </c>
      <c r="F8" s="29">
        <v>15000</v>
      </c>
      <c r="G8" s="29">
        <v>9000</v>
      </c>
      <c r="H8" s="29">
        <v>7500</v>
      </c>
      <c r="I8" s="29">
        <v>6000</v>
      </c>
      <c r="J8" s="30">
        <v>1.3333333333333333</v>
      </c>
      <c r="K8" s="30">
        <v>1.3333333333333333</v>
      </c>
      <c r="L8" s="30">
        <v>1.3333333333333333</v>
      </c>
      <c r="M8" s="30">
        <v>1.3333333333333333</v>
      </c>
      <c r="N8" s="30">
        <v>1</v>
      </c>
      <c r="O8" s="30">
        <v>1</v>
      </c>
      <c r="P8" s="30">
        <v>1</v>
      </c>
      <c r="Q8" s="30">
        <v>1</v>
      </c>
      <c r="R8" s="31">
        <f t="shared" ref="R8:R11" si="0">N8*F8</f>
        <v>15000</v>
      </c>
      <c r="S8" s="33"/>
      <c r="T8" s="24"/>
      <c r="U8" s="25"/>
      <c r="W8" s="27"/>
      <c r="X8" s="27"/>
      <c r="Y8" s="27"/>
      <c r="Z8" s="27"/>
      <c r="AA8" s="27"/>
      <c r="AB8" s="27"/>
      <c r="AC8" s="27"/>
    </row>
    <row r="9" spans="1:29" s="26" customFormat="1" ht="75.75" customHeight="1">
      <c r="A9" s="19"/>
      <c r="B9" s="21">
        <v>15</v>
      </c>
      <c r="C9" s="28" t="s">
        <v>104</v>
      </c>
      <c r="D9" s="28" t="s">
        <v>105</v>
      </c>
      <c r="E9" s="28" t="s">
        <v>14</v>
      </c>
      <c r="F9" s="29">
        <v>20000</v>
      </c>
      <c r="G9" s="29">
        <v>12000</v>
      </c>
      <c r="H9" s="29">
        <v>10000</v>
      </c>
      <c r="I9" s="29">
        <v>8000</v>
      </c>
      <c r="J9" s="30">
        <v>1.5</v>
      </c>
      <c r="K9" s="30">
        <v>1.5</v>
      </c>
      <c r="L9" s="30">
        <v>1.5</v>
      </c>
      <c r="M9" s="30">
        <v>1.5</v>
      </c>
      <c r="N9" s="34">
        <v>1.3</v>
      </c>
      <c r="O9" s="34">
        <v>1.2</v>
      </c>
      <c r="P9" s="34">
        <v>1</v>
      </c>
      <c r="Q9" s="34">
        <v>1</v>
      </c>
      <c r="R9" s="31">
        <f t="shared" si="0"/>
        <v>26000</v>
      </c>
      <c r="S9" s="35" t="s">
        <v>130</v>
      </c>
      <c r="T9" s="24"/>
      <c r="U9" s="25"/>
      <c r="W9" s="27"/>
      <c r="X9" s="27"/>
      <c r="Y9" s="27"/>
      <c r="Z9" s="27"/>
      <c r="AA9" s="27"/>
      <c r="AB9" s="27"/>
      <c r="AC9" s="27"/>
    </row>
    <row r="10" spans="1:29" s="26" customFormat="1" ht="53.25" customHeight="1">
      <c r="A10" s="19"/>
      <c r="B10" s="21">
        <v>35</v>
      </c>
      <c r="C10" s="28" t="s">
        <v>106</v>
      </c>
      <c r="D10" s="28" t="s">
        <v>107</v>
      </c>
      <c r="E10" s="28" t="s">
        <v>108</v>
      </c>
      <c r="F10" s="29">
        <v>10000</v>
      </c>
      <c r="G10" s="29">
        <v>6000</v>
      </c>
      <c r="H10" s="29">
        <v>5000</v>
      </c>
      <c r="I10" s="29">
        <v>4000</v>
      </c>
      <c r="J10" s="30">
        <v>2</v>
      </c>
      <c r="K10" s="30">
        <v>2</v>
      </c>
      <c r="L10" s="30">
        <v>2</v>
      </c>
      <c r="M10" s="30">
        <v>2</v>
      </c>
      <c r="N10" s="30">
        <v>2</v>
      </c>
      <c r="O10" s="30">
        <v>2</v>
      </c>
      <c r="P10" s="30">
        <v>2</v>
      </c>
      <c r="Q10" s="30">
        <v>2</v>
      </c>
      <c r="R10" s="31">
        <f t="shared" si="0"/>
        <v>20000</v>
      </c>
      <c r="S10" s="35" t="s">
        <v>117</v>
      </c>
      <c r="T10" s="24"/>
      <c r="U10" s="25"/>
      <c r="W10" s="27"/>
      <c r="X10" s="27"/>
      <c r="Y10" s="27"/>
      <c r="Z10" s="27"/>
      <c r="AA10" s="27"/>
      <c r="AB10" s="27"/>
      <c r="AC10" s="27"/>
    </row>
    <row r="11" spans="1:29" s="26" customFormat="1" ht="128.75" customHeight="1">
      <c r="A11" s="19"/>
      <c r="B11" s="21">
        <v>45</v>
      </c>
      <c r="C11" s="28" t="s">
        <v>109</v>
      </c>
      <c r="D11" s="28" t="s">
        <v>105</v>
      </c>
      <c r="E11" s="28" t="s">
        <v>110</v>
      </c>
      <c r="F11" s="29">
        <v>13000</v>
      </c>
      <c r="G11" s="29">
        <v>7800</v>
      </c>
      <c r="H11" s="29">
        <v>6500</v>
      </c>
      <c r="I11" s="29">
        <v>5200</v>
      </c>
      <c r="J11" s="30">
        <v>1.3846153846153846</v>
      </c>
      <c r="K11" s="30">
        <v>1.9230769230769231</v>
      </c>
      <c r="L11" s="34">
        <v>1.8461538461538463</v>
      </c>
      <c r="M11" s="34">
        <v>1.7307692307692306</v>
      </c>
      <c r="N11" s="34">
        <v>1.38</v>
      </c>
      <c r="O11" s="34">
        <v>1.3</v>
      </c>
      <c r="P11" s="30">
        <v>1</v>
      </c>
      <c r="Q11" s="30">
        <v>1</v>
      </c>
      <c r="R11" s="31">
        <f t="shared" si="0"/>
        <v>17940</v>
      </c>
      <c r="S11" s="35" t="s">
        <v>131</v>
      </c>
      <c r="T11" s="24"/>
      <c r="U11" s="25"/>
      <c r="W11" s="27"/>
      <c r="X11" s="27"/>
      <c r="Y11" s="27"/>
      <c r="Z11" s="27"/>
      <c r="AA11" s="27"/>
      <c r="AB11" s="27"/>
      <c r="AC11" s="27"/>
    </row>
    <row r="12" spans="1:29" s="26" customFormat="1" ht="26.25" customHeight="1">
      <c r="A12" s="19">
        <v>2</v>
      </c>
      <c r="B12" s="19"/>
      <c r="C12" s="22" t="s">
        <v>17</v>
      </c>
      <c r="D12" s="19"/>
      <c r="E12" s="19"/>
      <c r="F12" s="18"/>
      <c r="G12" s="18"/>
      <c r="H12" s="18"/>
      <c r="I12" s="18"/>
      <c r="J12" s="20"/>
      <c r="K12" s="20"/>
      <c r="L12" s="36"/>
      <c r="M12" s="36"/>
      <c r="N12" s="36"/>
      <c r="O12" s="36"/>
      <c r="P12" s="20"/>
      <c r="Q12" s="20"/>
      <c r="R12" s="18"/>
      <c r="S12" s="21"/>
      <c r="T12" s="24"/>
      <c r="U12" s="25"/>
      <c r="W12" s="27"/>
      <c r="X12" s="27"/>
      <c r="Y12" s="27"/>
      <c r="Z12" s="27"/>
      <c r="AA12" s="27"/>
      <c r="AB12" s="27"/>
      <c r="AC12" s="27"/>
    </row>
    <row r="13" spans="1:29" s="26" customFormat="1" ht="48.75" customHeight="1">
      <c r="A13" s="19"/>
      <c r="B13" s="21">
        <v>1048</v>
      </c>
      <c r="C13" s="28" t="s">
        <v>93</v>
      </c>
      <c r="D13" s="21" t="s">
        <v>15</v>
      </c>
      <c r="E13" s="21" t="s">
        <v>16</v>
      </c>
      <c r="F13" s="31">
        <v>12000</v>
      </c>
      <c r="G13" s="31">
        <v>5900</v>
      </c>
      <c r="H13" s="31">
        <v>5000</v>
      </c>
      <c r="I13" s="31">
        <v>4200</v>
      </c>
      <c r="J13" s="30">
        <v>2.5</v>
      </c>
      <c r="K13" s="30">
        <v>2.5</v>
      </c>
      <c r="L13" s="34">
        <v>2.5</v>
      </c>
      <c r="M13" s="34">
        <v>2.5</v>
      </c>
      <c r="N13" s="34">
        <v>2.5</v>
      </c>
      <c r="O13" s="34">
        <v>2.5</v>
      </c>
      <c r="P13" s="30">
        <v>2</v>
      </c>
      <c r="Q13" s="30">
        <v>2</v>
      </c>
      <c r="R13" s="31">
        <f>N13*F13</f>
        <v>30000</v>
      </c>
      <c r="S13" s="21" t="s">
        <v>114</v>
      </c>
      <c r="T13" s="24" t="s">
        <v>95</v>
      </c>
      <c r="U13" s="25"/>
      <c r="W13" s="27"/>
      <c r="X13" s="27"/>
      <c r="Y13" s="27"/>
      <c r="Z13" s="27"/>
      <c r="AA13" s="27"/>
      <c r="AB13" s="27"/>
      <c r="AC13" s="27"/>
    </row>
    <row r="14" spans="1:29" s="26" customFormat="1" ht="89.25" customHeight="1">
      <c r="A14" s="19"/>
      <c r="B14" s="21">
        <v>1045</v>
      </c>
      <c r="C14" s="28" t="s">
        <v>150</v>
      </c>
      <c r="D14" s="21" t="s">
        <v>152</v>
      </c>
      <c r="E14" s="21" t="s">
        <v>151</v>
      </c>
      <c r="F14" s="31">
        <v>23500</v>
      </c>
      <c r="G14" s="31">
        <v>11300</v>
      </c>
      <c r="H14" s="31">
        <v>9400</v>
      </c>
      <c r="I14" s="31">
        <v>7500</v>
      </c>
      <c r="J14" s="30">
        <v>1.4</v>
      </c>
      <c r="K14" s="30">
        <v>1.4</v>
      </c>
      <c r="L14" s="34">
        <v>1</v>
      </c>
      <c r="M14" s="34">
        <v>1</v>
      </c>
      <c r="N14" s="30">
        <v>1.4</v>
      </c>
      <c r="O14" s="30">
        <v>1.4</v>
      </c>
      <c r="P14" s="34">
        <v>1</v>
      </c>
      <c r="Q14" s="34">
        <v>1</v>
      </c>
      <c r="R14" s="31">
        <f>N14*F14</f>
        <v>32900</v>
      </c>
      <c r="S14" s="21" t="s">
        <v>153</v>
      </c>
      <c r="T14" s="24"/>
      <c r="U14" s="25"/>
      <c r="W14" s="27"/>
      <c r="X14" s="27"/>
      <c r="Y14" s="27"/>
      <c r="Z14" s="27"/>
      <c r="AA14" s="27"/>
      <c r="AB14" s="27"/>
      <c r="AC14" s="27"/>
    </row>
    <row r="15" spans="1:29" s="26" customFormat="1" ht="26.25" customHeight="1">
      <c r="A15" s="19">
        <v>3</v>
      </c>
      <c r="B15" s="19"/>
      <c r="C15" s="22" t="s">
        <v>18</v>
      </c>
      <c r="D15" s="19"/>
      <c r="E15" s="19"/>
      <c r="F15" s="18"/>
      <c r="G15" s="18"/>
      <c r="H15" s="18"/>
      <c r="I15" s="18"/>
      <c r="J15" s="20"/>
      <c r="K15" s="20"/>
      <c r="L15" s="36"/>
      <c r="M15" s="36"/>
      <c r="N15" s="36"/>
      <c r="O15" s="36"/>
      <c r="P15" s="20"/>
      <c r="Q15" s="20"/>
      <c r="R15" s="18"/>
      <c r="S15" s="21"/>
      <c r="T15" s="24"/>
      <c r="U15" s="25"/>
      <c r="W15" s="27"/>
      <c r="X15" s="27"/>
      <c r="Y15" s="27"/>
      <c r="Z15" s="27"/>
      <c r="AA15" s="27"/>
      <c r="AB15" s="27"/>
      <c r="AC15" s="27"/>
    </row>
    <row r="16" spans="1:29" s="26" customFormat="1" ht="82.5" customHeight="1">
      <c r="A16" s="19"/>
      <c r="B16" s="21">
        <v>1732</v>
      </c>
      <c r="C16" s="35" t="s">
        <v>62</v>
      </c>
      <c r="D16" s="21" t="s">
        <v>63</v>
      </c>
      <c r="E16" s="21" t="s">
        <v>64</v>
      </c>
      <c r="F16" s="37">
        <v>20000</v>
      </c>
      <c r="G16" s="37">
        <v>9900</v>
      </c>
      <c r="H16" s="37">
        <v>5000</v>
      </c>
      <c r="I16" s="37">
        <v>4000</v>
      </c>
      <c r="J16" s="30">
        <v>1</v>
      </c>
      <c r="K16" s="30">
        <v>1</v>
      </c>
      <c r="L16" s="30">
        <v>1</v>
      </c>
      <c r="M16" s="30">
        <v>1</v>
      </c>
      <c r="N16" s="30">
        <v>1.3</v>
      </c>
      <c r="O16" s="30">
        <v>1.1000000000000001</v>
      </c>
      <c r="P16" s="30">
        <v>1</v>
      </c>
      <c r="Q16" s="30">
        <v>1</v>
      </c>
      <c r="R16" s="31">
        <f>N16*F16</f>
        <v>26000</v>
      </c>
      <c r="S16" s="38" t="s">
        <v>124</v>
      </c>
      <c r="T16" s="24"/>
      <c r="U16" s="25"/>
      <c r="W16" s="27"/>
      <c r="X16" s="27"/>
      <c r="Y16" s="27"/>
      <c r="Z16" s="27"/>
      <c r="AA16" s="27"/>
      <c r="AB16" s="27"/>
      <c r="AC16" s="27"/>
    </row>
    <row r="17" spans="1:29" s="26" customFormat="1" ht="40.5" customHeight="1">
      <c r="A17" s="19"/>
      <c r="B17" s="39">
        <v>1766</v>
      </c>
      <c r="C17" s="40" t="s">
        <v>65</v>
      </c>
      <c r="D17" s="41" t="s">
        <v>66</v>
      </c>
      <c r="E17" s="42" t="s">
        <v>89</v>
      </c>
      <c r="F17" s="43">
        <v>35000</v>
      </c>
      <c r="G17" s="43">
        <v>17500</v>
      </c>
      <c r="H17" s="43">
        <v>8800</v>
      </c>
      <c r="I17" s="43">
        <v>7000</v>
      </c>
      <c r="J17" s="44">
        <v>1.1000000000000001</v>
      </c>
      <c r="K17" s="44">
        <v>1</v>
      </c>
      <c r="L17" s="44">
        <v>1</v>
      </c>
      <c r="M17" s="44">
        <v>1</v>
      </c>
      <c r="N17" s="44">
        <v>1</v>
      </c>
      <c r="O17" s="44">
        <v>1</v>
      </c>
      <c r="P17" s="44">
        <v>1</v>
      </c>
      <c r="Q17" s="44">
        <v>1</v>
      </c>
      <c r="R17" s="31">
        <f t="shared" ref="R17:R23" si="1">N17*F17</f>
        <v>35000</v>
      </c>
      <c r="S17" s="45" t="s">
        <v>132</v>
      </c>
      <c r="T17" s="24"/>
      <c r="U17" s="25"/>
      <c r="W17" s="27"/>
      <c r="X17" s="27"/>
      <c r="Y17" s="27"/>
      <c r="Z17" s="27"/>
      <c r="AA17" s="27"/>
      <c r="AB17" s="27"/>
      <c r="AC17" s="27"/>
    </row>
    <row r="18" spans="1:29" s="26" customFormat="1" ht="54">
      <c r="A18" s="19"/>
      <c r="B18" s="39">
        <v>1770</v>
      </c>
      <c r="C18" s="46" t="s">
        <v>50</v>
      </c>
      <c r="D18" s="42" t="s">
        <v>67</v>
      </c>
      <c r="E18" s="42" t="s">
        <v>90</v>
      </c>
      <c r="F18" s="43">
        <v>30000</v>
      </c>
      <c r="G18" s="43">
        <v>15000</v>
      </c>
      <c r="H18" s="43">
        <v>7500</v>
      </c>
      <c r="I18" s="43">
        <v>6000</v>
      </c>
      <c r="J18" s="44">
        <v>1.2</v>
      </c>
      <c r="K18" s="44">
        <v>1.1000000000000001</v>
      </c>
      <c r="L18" s="44">
        <v>1</v>
      </c>
      <c r="M18" s="44">
        <v>1</v>
      </c>
      <c r="N18" s="44">
        <v>1</v>
      </c>
      <c r="O18" s="44">
        <v>1</v>
      </c>
      <c r="P18" s="44">
        <v>1</v>
      </c>
      <c r="Q18" s="44">
        <v>1</v>
      </c>
      <c r="R18" s="31">
        <f t="shared" si="1"/>
        <v>30000</v>
      </c>
      <c r="S18" s="47"/>
      <c r="T18" s="24"/>
      <c r="U18" s="25"/>
      <c r="W18" s="27"/>
      <c r="X18" s="27"/>
      <c r="Y18" s="27"/>
      <c r="Z18" s="27"/>
      <c r="AA18" s="27"/>
      <c r="AB18" s="27"/>
      <c r="AC18" s="27"/>
    </row>
    <row r="19" spans="1:29" s="26" customFormat="1" ht="54">
      <c r="A19" s="19"/>
      <c r="B19" s="39">
        <v>1771</v>
      </c>
      <c r="C19" s="46" t="s">
        <v>50</v>
      </c>
      <c r="D19" s="42" t="s">
        <v>68</v>
      </c>
      <c r="E19" s="42" t="s">
        <v>67</v>
      </c>
      <c r="F19" s="43">
        <v>25000</v>
      </c>
      <c r="G19" s="43">
        <v>12500</v>
      </c>
      <c r="H19" s="43">
        <v>6250</v>
      </c>
      <c r="I19" s="43">
        <v>5000</v>
      </c>
      <c r="J19" s="44">
        <v>1.3</v>
      </c>
      <c r="K19" s="44">
        <v>1.1000000000000001</v>
      </c>
      <c r="L19" s="44">
        <v>1</v>
      </c>
      <c r="M19" s="44">
        <v>1</v>
      </c>
      <c r="N19" s="44">
        <v>1</v>
      </c>
      <c r="O19" s="44">
        <v>1</v>
      </c>
      <c r="P19" s="44">
        <v>1</v>
      </c>
      <c r="Q19" s="44">
        <v>1</v>
      </c>
      <c r="R19" s="31">
        <f t="shared" si="1"/>
        <v>25000</v>
      </c>
      <c r="S19" s="47"/>
      <c r="T19" s="24"/>
      <c r="U19" s="25"/>
      <c r="W19" s="27"/>
      <c r="X19" s="27"/>
      <c r="Y19" s="27"/>
      <c r="Z19" s="27"/>
      <c r="AA19" s="27"/>
      <c r="AB19" s="27"/>
      <c r="AC19" s="27"/>
    </row>
    <row r="20" spans="1:29" s="26" customFormat="1" ht="54">
      <c r="A20" s="19"/>
      <c r="B20" s="39">
        <v>1772</v>
      </c>
      <c r="C20" s="46" t="s">
        <v>50</v>
      </c>
      <c r="D20" s="42" t="s">
        <v>94</v>
      </c>
      <c r="E20" s="42" t="s">
        <v>69</v>
      </c>
      <c r="F20" s="43">
        <v>25000</v>
      </c>
      <c r="G20" s="43">
        <v>12500</v>
      </c>
      <c r="H20" s="43">
        <v>6300</v>
      </c>
      <c r="I20" s="43">
        <v>5000</v>
      </c>
      <c r="J20" s="44">
        <v>1.3</v>
      </c>
      <c r="K20" s="44">
        <v>1.1000000000000001</v>
      </c>
      <c r="L20" s="44">
        <v>1</v>
      </c>
      <c r="M20" s="44">
        <v>1</v>
      </c>
      <c r="N20" s="44">
        <v>1</v>
      </c>
      <c r="O20" s="44">
        <v>1</v>
      </c>
      <c r="P20" s="44">
        <v>1</v>
      </c>
      <c r="Q20" s="44">
        <v>1</v>
      </c>
      <c r="R20" s="31">
        <f t="shared" si="1"/>
        <v>25000</v>
      </c>
      <c r="S20" s="33"/>
      <c r="T20" s="24"/>
      <c r="U20" s="25"/>
      <c r="W20" s="27"/>
      <c r="X20" s="27"/>
      <c r="Y20" s="27"/>
      <c r="Z20" s="27"/>
      <c r="AA20" s="27"/>
      <c r="AB20" s="27"/>
      <c r="AC20" s="27"/>
    </row>
    <row r="21" spans="1:29" s="26" customFormat="1" ht="36" customHeight="1">
      <c r="A21" s="19"/>
      <c r="B21" s="39">
        <v>1792</v>
      </c>
      <c r="C21" s="48" t="s">
        <v>70</v>
      </c>
      <c r="D21" s="39" t="s">
        <v>49</v>
      </c>
      <c r="E21" s="39"/>
      <c r="F21" s="49">
        <v>13000</v>
      </c>
      <c r="G21" s="49">
        <v>5900</v>
      </c>
      <c r="H21" s="49">
        <v>3200</v>
      </c>
      <c r="I21" s="49">
        <v>2500</v>
      </c>
      <c r="J21" s="44">
        <v>1.3</v>
      </c>
      <c r="K21" s="44">
        <v>1.3</v>
      </c>
      <c r="L21" s="44">
        <v>1.3</v>
      </c>
      <c r="M21" s="44">
        <v>1.3</v>
      </c>
      <c r="N21" s="44">
        <v>1</v>
      </c>
      <c r="O21" s="44">
        <v>1</v>
      </c>
      <c r="P21" s="44">
        <v>1</v>
      </c>
      <c r="Q21" s="44">
        <v>1</v>
      </c>
      <c r="R21" s="31">
        <f t="shared" si="1"/>
        <v>13000</v>
      </c>
      <c r="S21" s="45" t="s">
        <v>133</v>
      </c>
      <c r="T21" s="24"/>
      <c r="U21" s="25"/>
      <c r="W21" s="27"/>
      <c r="X21" s="27"/>
      <c r="Y21" s="27"/>
      <c r="Z21" s="27"/>
      <c r="AA21" s="27"/>
      <c r="AB21" s="27"/>
      <c r="AC21" s="27"/>
    </row>
    <row r="22" spans="1:29" s="26" customFormat="1" ht="43.5" customHeight="1">
      <c r="A22" s="19"/>
      <c r="B22" s="39">
        <v>1793</v>
      </c>
      <c r="C22" s="48" t="s">
        <v>71</v>
      </c>
      <c r="D22" s="39" t="s">
        <v>49</v>
      </c>
      <c r="E22" s="39"/>
      <c r="F22" s="49">
        <v>12000</v>
      </c>
      <c r="G22" s="49">
        <v>5900</v>
      </c>
      <c r="H22" s="49">
        <v>3200</v>
      </c>
      <c r="I22" s="49">
        <v>2500</v>
      </c>
      <c r="J22" s="44">
        <v>1.3</v>
      </c>
      <c r="K22" s="44">
        <v>1.3</v>
      </c>
      <c r="L22" s="44">
        <v>1.3</v>
      </c>
      <c r="M22" s="44">
        <v>1.3</v>
      </c>
      <c r="N22" s="44">
        <v>1</v>
      </c>
      <c r="O22" s="44">
        <v>1</v>
      </c>
      <c r="P22" s="44">
        <v>1</v>
      </c>
      <c r="Q22" s="44">
        <v>1</v>
      </c>
      <c r="R22" s="31">
        <f t="shared" si="1"/>
        <v>12000</v>
      </c>
      <c r="S22" s="47"/>
      <c r="T22" s="24"/>
      <c r="U22" s="25"/>
      <c r="W22" s="27"/>
      <c r="X22" s="27"/>
      <c r="Y22" s="27"/>
      <c r="Z22" s="27"/>
      <c r="AA22" s="27"/>
      <c r="AB22" s="27"/>
      <c r="AC22" s="27"/>
    </row>
    <row r="23" spans="1:29" s="26" customFormat="1" ht="48.75" customHeight="1">
      <c r="A23" s="19"/>
      <c r="B23" s="39">
        <v>1794</v>
      </c>
      <c r="C23" s="48" t="s">
        <v>72</v>
      </c>
      <c r="D23" s="39" t="s">
        <v>49</v>
      </c>
      <c r="E23" s="39"/>
      <c r="F23" s="49">
        <v>11000</v>
      </c>
      <c r="G23" s="49">
        <v>5900</v>
      </c>
      <c r="H23" s="49">
        <v>3200</v>
      </c>
      <c r="I23" s="49">
        <v>2500</v>
      </c>
      <c r="J23" s="44">
        <v>1.3</v>
      </c>
      <c r="K23" s="44">
        <v>1.3</v>
      </c>
      <c r="L23" s="44">
        <v>1.3</v>
      </c>
      <c r="M23" s="44">
        <v>1.3</v>
      </c>
      <c r="N23" s="44">
        <v>1</v>
      </c>
      <c r="O23" s="44">
        <v>1</v>
      </c>
      <c r="P23" s="44">
        <v>1</v>
      </c>
      <c r="Q23" s="44">
        <v>1</v>
      </c>
      <c r="R23" s="31">
        <f t="shared" si="1"/>
        <v>11000</v>
      </c>
      <c r="S23" s="33"/>
      <c r="T23" s="24"/>
      <c r="U23" s="25"/>
      <c r="W23" s="27"/>
      <c r="X23" s="27"/>
      <c r="Y23" s="27"/>
      <c r="Z23" s="27"/>
      <c r="AA23" s="27"/>
      <c r="AB23" s="27"/>
      <c r="AC23" s="27"/>
    </row>
    <row r="24" spans="1:29" s="26" customFormat="1" ht="27" customHeight="1">
      <c r="A24" s="19">
        <v>4</v>
      </c>
      <c r="B24" s="50"/>
      <c r="C24" s="51" t="s">
        <v>20</v>
      </c>
      <c r="D24" s="19"/>
      <c r="E24" s="19"/>
      <c r="F24" s="2"/>
      <c r="G24" s="2"/>
      <c r="H24" s="2"/>
      <c r="I24" s="2"/>
      <c r="J24" s="2"/>
      <c r="K24" s="2"/>
      <c r="L24" s="2"/>
      <c r="M24" s="2"/>
      <c r="N24" s="20"/>
      <c r="O24" s="20"/>
      <c r="P24" s="20"/>
      <c r="Q24" s="20"/>
      <c r="R24" s="18"/>
      <c r="S24" s="35"/>
      <c r="T24" s="24"/>
      <c r="U24" s="25"/>
      <c r="W24" s="27"/>
      <c r="X24" s="27"/>
      <c r="Y24" s="27"/>
      <c r="Z24" s="27"/>
      <c r="AA24" s="27"/>
      <c r="AB24" s="27"/>
      <c r="AC24" s="27"/>
    </row>
    <row r="25" spans="1:29" s="26" customFormat="1" ht="27" customHeight="1">
      <c r="A25" s="19"/>
      <c r="B25" s="52">
        <v>2368</v>
      </c>
      <c r="C25" s="53" t="s">
        <v>51</v>
      </c>
      <c r="D25" s="54" t="s">
        <v>52</v>
      </c>
      <c r="E25" s="54"/>
      <c r="F25" s="55">
        <v>16000</v>
      </c>
      <c r="G25" s="55">
        <v>8300</v>
      </c>
      <c r="H25" s="55">
        <v>4600</v>
      </c>
      <c r="I25" s="55">
        <v>3700</v>
      </c>
      <c r="J25" s="56">
        <v>1.2</v>
      </c>
      <c r="K25" s="56">
        <v>1.1000000000000001</v>
      </c>
      <c r="L25" s="56">
        <v>1</v>
      </c>
      <c r="M25" s="56">
        <v>1</v>
      </c>
      <c r="N25" s="56">
        <v>1</v>
      </c>
      <c r="O25" s="56">
        <v>1</v>
      </c>
      <c r="P25" s="56">
        <v>1</v>
      </c>
      <c r="Q25" s="56">
        <v>1</v>
      </c>
      <c r="R25" s="55">
        <f t="shared" ref="R25" si="2">F25*N25</f>
        <v>16000</v>
      </c>
      <c r="S25" s="45" t="s">
        <v>134</v>
      </c>
      <c r="T25" s="24"/>
      <c r="U25" s="57"/>
      <c r="W25" s="27"/>
      <c r="X25" s="27"/>
      <c r="Y25" s="27"/>
      <c r="Z25" s="27"/>
      <c r="AA25" s="27"/>
      <c r="AB25" s="27"/>
      <c r="AC25" s="27"/>
    </row>
    <row r="26" spans="1:29" s="26" customFormat="1" ht="27" customHeight="1">
      <c r="A26" s="19"/>
      <c r="B26" s="52">
        <v>2369</v>
      </c>
      <c r="C26" s="53" t="s">
        <v>51</v>
      </c>
      <c r="D26" s="54" t="s">
        <v>53</v>
      </c>
      <c r="E26" s="54"/>
      <c r="F26" s="55">
        <v>15200</v>
      </c>
      <c r="G26" s="55">
        <v>7600</v>
      </c>
      <c r="H26" s="55">
        <v>3800</v>
      </c>
      <c r="I26" s="55">
        <v>2300</v>
      </c>
      <c r="J26" s="56">
        <v>1.4</v>
      </c>
      <c r="K26" s="56">
        <v>1.3</v>
      </c>
      <c r="L26" s="56">
        <v>1.2</v>
      </c>
      <c r="M26" s="56">
        <v>1.1000000000000001</v>
      </c>
      <c r="N26" s="56">
        <v>1</v>
      </c>
      <c r="O26" s="56">
        <v>1</v>
      </c>
      <c r="P26" s="56">
        <v>1</v>
      </c>
      <c r="Q26" s="56">
        <v>1</v>
      </c>
      <c r="R26" s="55">
        <f t="shared" ref="R26:R33" si="3">F26*N26</f>
        <v>15200</v>
      </c>
      <c r="S26" s="47"/>
      <c r="T26" s="24"/>
      <c r="U26" s="57"/>
      <c r="W26" s="27"/>
      <c r="X26" s="27"/>
      <c r="Y26" s="27"/>
      <c r="Z26" s="27"/>
      <c r="AA26" s="27"/>
      <c r="AB26" s="27"/>
      <c r="AC26" s="27"/>
    </row>
    <row r="27" spans="1:29" s="26" customFormat="1" ht="27" customHeight="1">
      <c r="A27" s="19"/>
      <c r="B27" s="52">
        <v>2370</v>
      </c>
      <c r="C27" s="53" t="s">
        <v>51</v>
      </c>
      <c r="D27" s="54" t="s">
        <v>54</v>
      </c>
      <c r="E27" s="54"/>
      <c r="F27" s="55">
        <v>16000</v>
      </c>
      <c r="G27" s="55">
        <v>8300</v>
      </c>
      <c r="H27" s="55">
        <v>4600</v>
      </c>
      <c r="I27" s="55">
        <v>3700</v>
      </c>
      <c r="J27" s="56">
        <v>1.4</v>
      </c>
      <c r="K27" s="56">
        <v>1.3</v>
      </c>
      <c r="L27" s="56">
        <v>1.2</v>
      </c>
      <c r="M27" s="56">
        <v>1.1000000000000001</v>
      </c>
      <c r="N27" s="56">
        <v>1</v>
      </c>
      <c r="O27" s="56">
        <v>1</v>
      </c>
      <c r="P27" s="56">
        <v>1</v>
      </c>
      <c r="Q27" s="56">
        <v>1</v>
      </c>
      <c r="R27" s="55">
        <f t="shared" si="3"/>
        <v>16000</v>
      </c>
      <c r="S27" s="47"/>
      <c r="T27" s="24"/>
      <c r="U27" s="57"/>
      <c r="W27" s="27"/>
      <c r="X27" s="27"/>
      <c r="Y27" s="27"/>
      <c r="Z27" s="27"/>
      <c r="AA27" s="27"/>
      <c r="AB27" s="27"/>
      <c r="AC27" s="27"/>
    </row>
    <row r="28" spans="1:29" s="26" customFormat="1" ht="27" customHeight="1">
      <c r="A28" s="19"/>
      <c r="B28" s="52">
        <v>2371</v>
      </c>
      <c r="C28" s="53" t="s">
        <v>51</v>
      </c>
      <c r="D28" s="54" t="s">
        <v>55</v>
      </c>
      <c r="E28" s="54"/>
      <c r="F28" s="55">
        <v>15200</v>
      </c>
      <c r="G28" s="55">
        <v>7600</v>
      </c>
      <c r="H28" s="55">
        <v>3800</v>
      </c>
      <c r="I28" s="55">
        <v>2300</v>
      </c>
      <c r="J28" s="56">
        <v>1.4</v>
      </c>
      <c r="K28" s="56">
        <v>1.3</v>
      </c>
      <c r="L28" s="56">
        <v>1.2</v>
      </c>
      <c r="M28" s="56">
        <v>1.1000000000000001</v>
      </c>
      <c r="N28" s="56">
        <v>1</v>
      </c>
      <c r="O28" s="56">
        <v>1</v>
      </c>
      <c r="P28" s="56">
        <v>1</v>
      </c>
      <c r="Q28" s="56">
        <v>1</v>
      </c>
      <c r="R28" s="55">
        <f t="shared" si="3"/>
        <v>15200</v>
      </c>
      <c r="S28" s="47"/>
      <c r="T28" s="24"/>
      <c r="U28" s="57"/>
      <c r="W28" s="27"/>
      <c r="X28" s="27"/>
      <c r="Y28" s="27"/>
      <c r="Z28" s="27"/>
      <c r="AA28" s="27"/>
      <c r="AB28" s="27"/>
      <c r="AC28" s="27"/>
    </row>
    <row r="29" spans="1:29" s="26" customFormat="1" ht="27" customHeight="1">
      <c r="A29" s="19"/>
      <c r="B29" s="52">
        <v>2372</v>
      </c>
      <c r="C29" s="53" t="s">
        <v>51</v>
      </c>
      <c r="D29" s="54" t="s">
        <v>56</v>
      </c>
      <c r="E29" s="54"/>
      <c r="F29" s="55">
        <v>14000</v>
      </c>
      <c r="G29" s="55">
        <v>6400</v>
      </c>
      <c r="H29" s="55">
        <v>3600</v>
      </c>
      <c r="I29" s="55">
        <v>2900</v>
      </c>
      <c r="J29" s="56">
        <v>1.4</v>
      </c>
      <c r="K29" s="56">
        <v>1.3</v>
      </c>
      <c r="L29" s="56">
        <v>1.2</v>
      </c>
      <c r="M29" s="56">
        <v>1.1000000000000001</v>
      </c>
      <c r="N29" s="56">
        <v>1</v>
      </c>
      <c r="O29" s="56">
        <v>1</v>
      </c>
      <c r="P29" s="56">
        <v>1</v>
      </c>
      <c r="Q29" s="56">
        <v>1</v>
      </c>
      <c r="R29" s="55">
        <f t="shared" si="3"/>
        <v>14000</v>
      </c>
      <c r="S29" s="33"/>
      <c r="T29" s="24"/>
      <c r="U29" s="57"/>
      <c r="W29" s="27"/>
      <c r="X29" s="27"/>
      <c r="Y29" s="27"/>
      <c r="Z29" s="27"/>
      <c r="AA29" s="27"/>
      <c r="AB29" s="27"/>
      <c r="AC29" s="27"/>
    </row>
    <row r="30" spans="1:29" s="26" customFormat="1" ht="27" customHeight="1">
      <c r="A30" s="19"/>
      <c r="B30" s="52">
        <v>2373</v>
      </c>
      <c r="C30" s="53" t="s">
        <v>57</v>
      </c>
      <c r="D30" s="52" t="s">
        <v>58</v>
      </c>
      <c r="E30" s="52" t="s">
        <v>59</v>
      </c>
      <c r="F30" s="55">
        <v>31500</v>
      </c>
      <c r="G30" s="55">
        <v>15100</v>
      </c>
      <c r="H30" s="55">
        <v>8100</v>
      </c>
      <c r="I30" s="55">
        <v>6500</v>
      </c>
      <c r="J30" s="56">
        <v>1.5</v>
      </c>
      <c r="K30" s="56">
        <v>1.4</v>
      </c>
      <c r="L30" s="56">
        <v>1.3</v>
      </c>
      <c r="M30" s="56">
        <v>1.2</v>
      </c>
      <c r="N30" s="56">
        <v>1</v>
      </c>
      <c r="O30" s="56">
        <v>1</v>
      </c>
      <c r="P30" s="56">
        <v>1</v>
      </c>
      <c r="Q30" s="56">
        <v>1</v>
      </c>
      <c r="R30" s="55">
        <f t="shared" si="3"/>
        <v>31500</v>
      </c>
      <c r="S30" s="32" t="s">
        <v>135</v>
      </c>
      <c r="T30" s="24"/>
      <c r="U30" s="57"/>
      <c r="W30" s="27"/>
      <c r="X30" s="27"/>
      <c r="Y30" s="27"/>
      <c r="Z30" s="27"/>
      <c r="AA30" s="27"/>
      <c r="AB30" s="27"/>
      <c r="AC30" s="27"/>
    </row>
    <row r="31" spans="1:29" s="26" customFormat="1" ht="27" customHeight="1">
      <c r="A31" s="19"/>
      <c r="B31" s="52">
        <v>2374</v>
      </c>
      <c r="C31" s="53" t="s">
        <v>57</v>
      </c>
      <c r="D31" s="52" t="s">
        <v>59</v>
      </c>
      <c r="E31" s="52" t="s">
        <v>19</v>
      </c>
      <c r="F31" s="55">
        <v>22500</v>
      </c>
      <c r="G31" s="55">
        <v>11500</v>
      </c>
      <c r="H31" s="55">
        <v>6100</v>
      </c>
      <c r="I31" s="55">
        <v>4900</v>
      </c>
      <c r="J31" s="56">
        <v>1.5</v>
      </c>
      <c r="K31" s="56">
        <v>1.4</v>
      </c>
      <c r="L31" s="56">
        <v>1.3</v>
      </c>
      <c r="M31" s="56">
        <v>1.2</v>
      </c>
      <c r="N31" s="56">
        <v>1</v>
      </c>
      <c r="O31" s="56">
        <v>1</v>
      </c>
      <c r="P31" s="56">
        <v>1</v>
      </c>
      <c r="Q31" s="56">
        <v>1</v>
      </c>
      <c r="R31" s="55">
        <f t="shared" si="3"/>
        <v>22500</v>
      </c>
      <c r="S31" s="33"/>
      <c r="T31" s="24"/>
      <c r="U31" s="57"/>
      <c r="W31" s="27"/>
      <c r="X31" s="27"/>
      <c r="Y31" s="27"/>
      <c r="Z31" s="27"/>
      <c r="AA31" s="27"/>
      <c r="AB31" s="27"/>
      <c r="AC31" s="27"/>
    </row>
    <row r="32" spans="1:29" s="26" customFormat="1" ht="27" customHeight="1">
      <c r="A32" s="19"/>
      <c r="B32" s="52">
        <v>2465</v>
      </c>
      <c r="C32" s="53" t="s">
        <v>60</v>
      </c>
      <c r="D32" s="52" t="s">
        <v>13</v>
      </c>
      <c r="E32" s="52" t="s">
        <v>14</v>
      </c>
      <c r="F32" s="55">
        <v>6800</v>
      </c>
      <c r="G32" s="55">
        <v>3200</v>
      </c>
      <c r="H32" s="55">
        <v>2400</v>
      </c>
      <c r="I32" s="55">
        <v>1900</v>
      </c>
      <c r="J32" s="56">
        <v>1.4</v>
      </c>
      <c r="K32" s="56">
        <v>1.3</v>
      </c>
      <c r="L32" s="56">
        <v>1.2</v>
      </c>
      <c r="M32" s="56">
        <v>1</v>
      </c>
      <c r="N32" s="56">
        <v>1.4</v>
      </c>
      <c r="O32" s="56">
        <v>1.3</v>
      </c>
      <c r="P32" s="56">
        <v>1.2</v>
      </c>
      <c r="Q32" s="56">
        <v>1</v>
      </c>
      <c r="R32" s="55">
        <f t="shared" si="3"/>
        <v>9520</v>
      </c>
      <c r="S32" s="32" t="s">
        <v>136</v>
      </c>
      <c r="T32" s="24"/>
      <c r="U32" s="57"/>
      <c r="W32" s="27"/>
      <c r="X32" s="27"/>
      <c r="Y32" s="27"/>
      <c r="Z32" s="27"/>
      <c r="AA32" s="27"/>
      <c r="AB32" s="27"/>
      <c r="AC32" s="27"/>
    </row>
    <row r="33" spans="1:29" s="26" customFormat="1" ht="38" customHeight="1">
      <c r="A33" s="19"/>
      <c r="B33" s="52">
        <v>2466</v>
      </c>
      <c r="C33" s="53" t="s">
        <v>61</v>
      </c>
      <c r="D33" s="52" t="s">
        <v>13</v>
      </c>
      <c r="E33" s="52" t="s">
        <v>14</v>
      </c>
      <c r="F33" s="55">
        <v>6800</v>
      </c>
      <c r="G33" s="55">
        <v>3200</v>
      </c>
      <c r="H33" s="55">
        <v>2400</v>
      </c>
      <c r="I33" s="55">
        <v>1900</v>
      </c>
      <c r="J33" s="56">
        <v>1.4</v>
      </c>
      <c r="K33" s="56">
        <v>1.3</v>
      </c>
      <c r="L33" s="56">
        <v>1.2</v>
      </c>
      <c r="M33" s="56">
        <v>1</v>
      </c>
      <c r="N33" s="56">
        <v>1.4</v>
      </c>
      <c r="O33" s="56">
        <v>1.3</v>
      </c>
      <c r="P33" s="56">
        <v>1.2</v>
      </c>
      <c r="Q33" s="56">
        <v>1</v>
      </c>
      <c r="R33" s="55">
        <f t="shared" si="3"/>
        <v>9520</v>
      </c>
      <c r="S33" s="33"/>
      <c r="T33" s="24"/>
      <c r="U33" s="57"/>
      <c r="W33" s="27"/>
      <c r="X33" s="27"/>
      <c r="Y33" s="27"/>
      <c r="Z33" s="27"/>
      <c r="AA33" s="27"/>
      <c r="AB33" s="27"/>
      <c r="AC33" s="27"/>
    </row>
    <row r="34" spans="1:29" s="26" customFormat="1" ht="27" customHeight="1">
      <c r="A34" s="19">
        <v>5</v>
      </c>
      <c r="B34" s="50"/>
      <c r="C34" s="51" t="s">
        <v>21</v>
      </c>
      <c r="D34" s="19"/>
      <c r="E34" s="19"/>
      <c r="F34" s="2"/>
      <c r="G34" s="2"/>
      <c r="H34" s="2"/>
      <c r="I34" s="2"/>
      <c r="J34" s="2"/>
      <c r="K34" s="2"/>
      <c r="L34" s="2"/>
      <c r="M34" s="2"/>
      <c r="N34" s="20"/>
      <c r="O34" s="20"/>
      <c r="P34" s="20"/>
      <c r="Q34" s="20"/>
      <c r="R34" s="18"/>
      <c r="S34" s="21"/>
      <c r="T34" s="24"/>
      <c r="U34" s="25"/>
      <c r="W34" s="27"/>
      <c r="X34" s="27"/>
      <c r="Y34" s="27"/>
      <c r="Z34" s="27"/>
      <c r="AA34" s="27"/>
      <c r="AB34" s="27"/>
      <c r="AC34" s="27"/>
    </row>
    <row r="35" spans="1:29" ht="33" customHeight="1">
      <c r="A35" s="39"/>
      <c r="B35" s="58">
        <v>2543</v>
      </c>
      <c r="C35" s="59" t="s">
        <v>22</v>
      </c>
      <c r="D35" s="39" t="s">
        <v>23</v>
      </c>
      <c r="E35" s="39" t="s">
        <v>24</v>
      </c>
      <c r="F35" s="1">
        <v>18000</v>
      </c>
      <c r="G35" s="1">
        <v>9200</v>
      </c>
      <c r="H35" s="1">
        <v>5100</v>
      </c>
      <c r="I35" s="1">
        <v>4080</v>
      </c>
      <c r="J35" s="44">
        <v>1.8</v>
      </c>
      <c r="K35" s="44">
        <v>1.3</v>
      </c>
      <c r="L35" s="44">
        <v>1</v>
      </c>
      <c r="M35" s="44">
        <v>1</v>
      </c>
      <c r="N35" s="44">
        <v>1.5</v>
      </c>
      <c r="O35" s="44">
        <v>1.3</v>
      </c>
      <c r="P35" s="44">
        <v>1</v>
      </c>
      <c r="Q35" s="44">
        <v>1</v>
      </c>
      <c r="R35" s="49">
        <f>N35*F35</f>
        <v>27000</v>
      </c>
      <c r="S35" s="32" t="s">
        <v>149</v>
      </c>
    </row>
    <row r="36" spans="1:29" ht="36">
      <c r="A36" s="39"/>
      <c r="B36" s="60">
        <v>2544</v>
      </c>
      <c r="C36" s="61" t="s">
        <v>22</v>
      </c>
      <c r="D36" s="62" t="s">
        <v>143</v>
      </c>
      <c r="E36" s="62" t="s">
        <v>144</v>
      </c>
      <c r="F36" s="60">
        <v>16000</v>
      </c>
      <c r="G36" s="60">
        <v>8100</v>
      </c>
      <c r="H36" s="60">
        <v>4400</v>
      </c>
      <c r="I36" s="60">
        <v>3520</v>
      </c>
      <c r="J36" s="44">
        <v>1.8</v>
      </c>
      <c r="K36" s="44">
        <v>1.3</v>
      </c>
      <c r="L36" s="44">
        <v>1</v>
      </c>
      <c r="M36" s="44">
        <v>1</v>
      </c>
      <c r="N36" s="44">
        <v>1.5</v>
      </c>
      <c r="O36" s="44">
        <v>1.3</v>
      </c>
      <c r="P36" s="44">
        <v>1</v>
      </c>
      <c r="Q36" s="44">
        <v>1</v>
      </c>
      <c r="R36" s="49">
        <f t="shared" ref="R36:R38" si="4">N36*F36</f>
        <v>24000</v>
      </c>
      <c r="S36" s="47"/>
    </row>
    <row r="37" spans="1:29" ht="54">
      <c r="A37" s="39"/>
      <c r="B37" s="60">
        <v>2545</v>
      </c>
      <c r="C37" s="61" t="s">
        <v>22</v>
      </c>
      <c r="D37" s="62" t="s">
        <v>145</v>
      </c>
      <c r="E37" s="62" t="s">
        <v>146</v>
      </c>
      <c r="F37" s="60">
        <v>14000</v>
      </c>
      <c r="G37" s="60">
        <v>7450</v>
      </c>
      <c r="H37" s="60">
        <v>4150</v>
      </c>
      <c r="I37" s="60">
        <v>3320</v>
      </c>
      <c r="J37" s="44">
        <v>1.8</v>
      </c>
      <c r="K37" s="44">
        <v>1.3</v>
      </c>
      <c r="L37" s="44">
        <v>1</v>
      </c>
      <c r="M37" s="44">
        <v>1</v>
      </c>
      <c r="N37" s="44">
        <v>1.5</v>
      </c>
      <c r="O37" s="44">
        <v>1.3</v>
      </c>
      <c r="P37" s="44">
        <v>1</v>
      </c>
      <c r="Q37" s="44">
        <v>1</v>
      </c>
      <c r="R37" s="49">
        <f t="shared" si="4"/>
        <v>21000</v>
      </c>
      <c r="S37" s="47"/>
    </row>
    <row r="38" spans="1:29" ht="36">
      <c r="A38" s="39"/>
      <c r="B38" s="60">
        <v>2546</v>
      </c>
      <c r="C38" s="61" t="s">
        <v>22</v>
      </c>
      <c r="D38" s="62" t="s">
        <v>147</v>
      </c>
      <c r="E38" s="62" t="s">
        <v>148</v>
      </c>
      <c r="F38" s="62">
        <v>11600</v>
      </c>
      <c r="G38" s="62">
        <v>6500</v>
      </c>
      <c r="H38" s="62">
        <v>5200</v>
      </c>
      <c r="I38" s="62">
        <v>4200</v>
      </c>
      <c r="J38" s="44">
        <v>1.8</v>
      </c>
      <c r="K38" s="44">
        <v>1.3</v>
      </c>
      <c r="L38" s="44">
        <v>1</v>
      </c>
      <c r="M38" s="44">
        <v>1</v>
      </c>
      <c r="N38" s="44">
        <v>1.5</v>
      </c>
      <c r="O38" s="44">
        <v>1.3</v>
      </c>
      <c r="P38" s="44">
        <v>1</v>
      </c>
      <c r="Q38" s="44">
        <v>1</v>
      </c>
      <c r="R38" s="49">
        <f t="shared" si="4"/>
        <v>17400</v>
      </c>
      <c r="S38" s="33"/>
    </row>
    <row r="39" spans="1:29" ht="72">
      <c r="A39" s="39"/>
      <c r="B39" s="58">
        <v>2547</v>
      </c>
      <c r="C39" s="59" t="s">
        <v>25</v>
      </c>
      <c r="D39" s="39" t="s">
        <v>26</v>
      </c>
      <c r="E39" s="39" t="s">
        <v>27</v>
      </c>
      <c r="F39" s="1">
        <v>9800</v>
      </c>
      <c r="G39" s="1">
        <v>5200</v>
      </c>
      <c r="H39" s="1">
        <v>3700</v>
      </c>
      <c r="I39" s="1">
        <v>2960</v>
      </c>
      <c r="J39" s="44">
        <v>1.5</v>
      </c>
      <c r="K39" s="44">
        <v>1.3</v>
      </c>
      <c r="L39" s="44">
        <v>1</v>
      </c>
      <c r="M39" s="44">
        <v>1</v>
      </c>
      <c r="N39" s="44">
        <v>1.5</v>
      </c>
      <c r="O39" s="44">
        <v>1.3</v>
      </c>
      <c r="P39" s="44">
        <v>1</v>
      </c>
      <c r="Q39" s="44">
        <v>1</v>
      </c>
      <c r="R39" s="49">
        <f t="shared" ref="R39:R46" si="5">N39*F39</f>
        <v>14700</v>
      </c>
      <c r="S39" s="35" t="s">
        <v>137</v>
      </c>
    </row>
    <row r="40" spans="1:29" ht="36">
      <c r="A40" s="39"/>
      <c r="B40" s="58">
        <v>2577</v>
      </c>
      <c r="C40" s="59" t="s">
        <v>119</v>
      </c>
      <c r="D40" s="39" t="s">
        <v>13</v>
      </c>
      <c r="E40" s="39" t="s">
        <v>14</v>
      </c>
      <c r="F40" s="1">
        <v>10600</v>
      </c>
      <c r="G40" s="1">
        <v>5300</v>
      </c>
      <c r="H40" s="1">
        <v>4800</v>
      </c>
      <c r="I40" s="1">
        <v>4000</v>
      </c>
      <c r="J40" s="44">
        <v>1.5</v>
      </c>
      <c r="K40" s="44">
        <v>1.5</v>
      </c>
      <c r="L40" s="44">
        <v>1</v>
      </c>
      <c r="M40" s="44">
        <v>1</v>
      </c>
      <c r="N40" s="44">
        <v>1.5</v>
      </c>
      <c r="O40" s="44">
        <v>1.5</v>
      </c>
      <c r="P40" s="44">
        <v>1</v>
      </c>
      <c r="Q40" s="44">
        <v>1</v>
      </c>
      <c r="R40" s="49">
        <f t="shared" si="5"/>
        <v>15900</v>
      </c>
      <c r="S40" s="32" t="s">
        <v>129</v>
      </c>
    </row>
    <row r="41" spans="1:29" ht="37" customHeight="1">
      <c r="A41" s="39"/>
      <c r="B41" s="58">
        <v>2578</v>
      </c>
      <c r="C41" s="59" t="s">
        <v>120</v>
      </c>
      <c r="D41" s="39" t="s">
        <v>121</v>
      </c>
      <c r="E41" s="39" t="s">
        <v>122</v>
      </c>
      <c r="F41" s="1">
        <v>11600</v>
      </c>
      <c r="G41" s="1">
        <v>6500</v>
      </c>
      <c r="H41" s="1">
        <v>5200</v>
      </c>
      <c r="I41" s="1">
        <v>4200</v>
      </c>
      <c r="J41" s="44">
        <v>1.5</v>
      </c>
      <c r="K41" s="44">
        <v>1.5</v>
      </c>
      <c r="L41" s="44">
        <v>1.3</v>
      </c>
      <c r="M41" s="44">
        <v>1.1000000000000001</v>
      </c>
      <c r="N41" s="44">
        <v>1.55</v>
      </c>
      <c r="O41" s="44">
        <v>1.5</v>
      </c>
      <c r="P41" s="44">
        <v>1.3</v>
      </c>
      <c r="Q41" s="44">
        <v>1.1000000000000001</v>
      </c>
      <c r="R41" s="49">
        <f t="shared" si="5"/>
        <v>17980</v>
      </c>
      <c r="S41" s="33"/>
    </row>
    <row r="42" spans="1:29" ht="54">
      <c r="A42" s="39"/>
      <c r="B42" s="58">
        <v>2587</v>
      </c>
      <c r="C42" s="59" t="s">
        <v>123</v>
      </c>
      <c r="D42" s="39" t="s">
        <v>13</v>
      </c>
      <c r="E42" s="39" t="s">
        <v>14</v>
      </c>
      <c r="F42" s="1">
        <v>4200</v>
      </c>
      <c r="G42" s="1">
        <v>2200</v>
      </c>
      <c r="H42" s="1">
        <v>1700</v>
      </c>
      <c r="I42" s="1">
        <v>1400</v>
      </c>
      <c r="J42" s="44">
        <v>1.5</v>
      </c>
      <c r="K42" s="44">
        <v>1.5</v>
      </c>
      <c r="L42" s="44">
        <v>1.3</v>
      </c>
      <c r="M42" s="44">
        <v>1.1000000000000001</v>
      </c>
      <c r="N42" s="44">
        <v>1.5</v>
      </c>
      <c r="O42" s="44">
        <v>1.5</v>
      </c>
      <c r="P42" s="44">
        <v>1.3</v>
      </c>
      <c r="Q42" s="44">
        <v>1.1000000000000001</v>
      </c>
      <c r="R42" s="49">
        <f t="shared" si="5"/>
        <v>6300</v>
      </c>
      <c r="S42" s="63" t="s">
        <v>138</v>
      </c>
    </row>
    <row r="43" spans="1:29" ht="72">
      <c r="A43" s="39"/>
      <c r="B43" s="58">
        <v>2548</v>
      </c>
      <c r="C43" s="59" t="s">
        <v>28</v>
      </c>
      <c r="D43" s="39" t="s">
        <v>26</v>
      </c>
      <c r="E43" s="39" t="s">
        <v>27</v>
      </c>
      <c r="F43" s="1">
        <v>18000</v>
      </c>
      <c r="G43" s="1"/>
      <c r="H43" s="1"/>
      <c r="I43" s="1"/>
      <c r="J43" s="44">
        <v>1.5</v>
      </c>
      <c r="K43" s="44"/>
      <c r="L43" s="44"/>
      <c r="M43" s="44"/>
      <c r="N43" s="44">
        <v>1</v>
      </c>
      <c r="O43" s="44"/>
      <c r="P43" s="44"/>
      <c r="Q43" s="44"/>
      <c r="R43" s="49">
        <f t="shared" si="5"/>
        <v>18000</v>
      </c>
      <c r="S43" s="32" t="s">
        <v>128</v>
      </c>
    </row>
    <row r="44" spans="1:29" ht="72">
      <c r="A44" s="39"/>
      <c r="B44" s="58">
        <v>2549</v>
      </c>
      <c r="C44" s="59" t="s">
        <v>29</v>
      </c>
      <c r="D44" s="39" t="s">
        <v>26</v>
      </c>
      <c r="E44" s="39" t="s">
        <v>27</v>
      </c>
      <c r="F44" s="1">
        <v>12000</v>
      </c>
      <c r="G44" s="1"/>
      <c r="H44" s="1"/>
      <c r="I44" s="1"/>
      <c r="J44" s="44">
        <v>1.5</v>
      </c>
      <c r="K44" s="44"/>
      <c r="L44" s="44"/>
      <c r="M44" s="44"/>
      <c r="N44" s="44">
        <v>1</v>
      </c>
      <c r="O44" s="44"/>
      <c r="P44" s="44"/>
      <c r="Q44" s="44"/>
      <c r="R44" s="49">
        <f t="shared" si="5"/>
        <v>12000</v>
      </c>
      <c r="S44" s="47"/>
    </row>
    <row r="45" spans="1:29" ht="72">
      <c r="A45" s="39"/>
      <c r="B45" s="58">
        <v>2550</v>
      </c>
      <c r="C45" s="59" t="s">
        <v>30</v>
      </c>
      <c r="D45" s="39" t="s">
        <v>26</v>
      </c>
      <c r="E45" s="39" t="s">
        <v>27</v>
      </c>
      <c r="F45" s="1">
        <v>8400</v>
      </c>
      <c r="G45" s="1"/>
      <c r="H45" s="1"/>
      <c r="I45" s="1"/>
      <c r="J45" s="44">
        <v>1.5</v>
      </c>
      <c r="K45" s="44"/>
      <c r="L45" s="44"/>
      <c r="M45" s="44"/>
      <c r="N45" s="44">
        <v>1</v>
      </c>
      <c r="O45" s="44"/>
      <c r="P45" s="44"/>
      <c r="Q45" s="44"/>
      <c r="R45" s="49">
        <f t="shared" si="5"/>
        <v>8400</v>
      </c>
      <c r="S45" s="47"/>
    </row>
    <row r="46" spans="1:29" ht="72">
      <c r="A46" s="39"/>
      <c r="B46" s="58">
        <v>2551</v>
      </c>
      <c r="C46" s="59" t="s">
        <v>31</v>
      </c>
      <c r="D46" s="39" t="s">
        <v>26</v>
      </c>
      <c r="E46" s="39" t="s">
        <v>27</v>
      </c>
      <c r="F46" s="1">
        <v>7200</v>
      </c>
      <c r="G46" s="1"/>
      <c r="H46" s="1"/>
      <c r="I46" s="1"/>
      <c r="J46" s="44">
        <v>1.5</v>
      </c>
      <c r="K46" s="44"/>
      <c r="L46" s="44"/>
      <c r="M46" s="44"/>
      <c r="N46" s="44">
        <v>1</v>
      </c>
      <c r="O46" s="44"/>
      <c r="P46" s="44"/>
      <c r="Q46" s="44"/>
      <c r="R46" s="49">
        <f t="shared" si="5"/>
        <v>7200</v>
      </c>
      <c r="S46" s="33"/>
    </row>
    <row r="47" spans="1:29" s="26" customFormat="1" ht="31.5" customHeight="1">
      <c r="A47" s="19">
        <v>6</v>
      </c>
      <c r="B47" s="50"/>
      <c r="C47" s="51" t="s">
        <v>32</v>
      </c>
      <c r="D47" s="19"/>
      <c r="E47" s="19"/>
      <c r="F47" s="2"/>
      <c r="G47" s="2"/>
      <c r="H47" s="2"/>
      <c r="I47" s="2"/>
      <c r="J47" s="2"/>
      <c r="K47" s="2"/>
      <c r="L47" s="2"/>
      <c r="M47" s="2"/>
      <c r="N47" s="20"/>
      <c r="O47" s="20"/>
      <c r="P47" s="20"/>
      <c r="Q47" s="20"/>
      <c r="R47" s="18"/>
      <c r="S47" s="21"/>
      <c r="T47" s="24"/>
      <c r="U47" s="25"/>
      <c r="W47" s="27"/>
      <c r="X47" s="27"/>
      <c r="Y47" s="27"/>
      <c r="Z47" s="27"/>
      <c r="AA47" s="27"/>
      <c r="AB47" s="27"/>
      <c r="AC47" s="27"/>
    </row>
    <row r="48" spans="1:29" s="26" customFormat="1" ht="38.25" customHeight="1">
      <c r="A48" s="19"/>
      <c r="B48" s="64">
        <v>2671</v>
      </c>
      <c r="C48" s="65" t="s">
        <v>19</v>
      </c>
      <c r="D48" s="64" t="s">
        <v>73</v>
      </c>
      <c r="E48" s="64" t="s">
        <v>74</v>
      </c>
      <c r="F48" s="66">
        <v>24000</v>
      </c>
      <c r="G48" s="66">
        <v>12500</v>
      </c>
      <c r="H48" s="66">
        <v>6400</v>
      </c>
      <c r="I48" s="66">
        <v>5100</v>
      </c>
      <c r="J48" s="30">
        <v>1.3</v>
      </c>
      <c r="K48" s="30">
        <v>1.3</v>
      </c>
      <c r="L48" s="30">
        <v>1.3</v>
      </c>
      <c r="M48" s="30">
        <v>1.3</v>
      </c>
      <c r="N48" s="30">
        <v>1.3</v>
      </c>
      <c r="O48" s="30">
        <v>1.3</v>
      </c>
      <c r="P48" s="30">
        <v>1.3</v>
      </c>
      <c r="Q48" s="30">
        <v>1.3</v>
      </c>
      <c r="R48" s="66">
        <f>F48*N48</f>
        <v>31200</v>
      </c>
      <c r="S48" s="45" t="s">
        <v>139</v>
      </c>
      <c r="T48" s="24"/>
      <c r="U48" s="25"/>
      <c r="W48" s="27"/>
      <c r="X48" s="27"/>
      <c r="Y48" s="27"/>
      <c r="Z48" s="27"/>
      <c r="AA48" s="27"/>
      <c r="AB48" s="27"/>
      <c r="AC48" s="27"/>
    </row>
    <row r="49" spans="1:31" s="26" customFormat="1" ht="31.5" customHeight="1">
      <c r="A49" s="19"/>
      <c r="B49" s="64">
        <v>2672</v>
      </c>
      <c r="C49" s="65" t="s">
        <v>19</v>
      </c>
      <c r="D49" s="64" t="s">
        <v>73</v>
      </c>
      <c r="E49" s="64" t="s">
        <v>75</v>
      </c>
      <c r="F49" s="66">
        <v>22000</v>
      </c>
      <c r="G49" s="66">
        <v>12000</v>
      </c>
      <c r="H49" s="66">
        <v>6200</v>
      </c>
      <c r="I49" s="66">
        <v>5000</v>
      </c>
      <c r="J49" s="30">
        <v>1.3</v>
      </c>
      <c r="K49" s="30">
        <v>1.3</v>
      </c>
      <c r="L49" s="30">
        <v>1.3</v>
      </c>
      <c r="M49" s="30">
        <v>1.3</v>
      </c>
      <c r="N49" s="30">
        <v>1.3</v>
      </c>
      <c r="O49" s="30">
        <v>1.3</v>
      </c>
      <c r="P49" s="30">
        <v>1.3</v>
      </c>
      <c r="Q49" s="30">
        <v>1.3</v>
      </c>
      <c r="R49" s="66">
        <f>F49*N49</f>
        <v>28600</v>
      </c>
      <c r="S49" s="47"/>
      <c r="T49" s="24"/>
      <c r="U49" s="25"/>
      <c r="W49" s="27"/>
      <c r="X49" s="27"/>
      <c r="Y49" s="27"/>
      <c r="Z49" s="27"/>
      <c r="AA49" s="27"/>
      <c r="AB49" s="27"/>
      <c r="AC49" s="27"/>
    </row>
    <row r="50" spans="1:31" s="26" customFormat="1" ht="55.5" customHeight="1">
      <c r="A50" s="19"/>
      <c r="B50" s="64">
        <v>2675</v>
      </c>
      <c r="C50" s="65" t="s">
        <v>76</v>
      </c>
      <c r="D50" s="64" t="s">
        <v>13</v>
      </c>
      <c r="E50" s="64" t="s">
        <v>14</v>
      </c>
      <c r="F50" s="66">
        <v>22000</v>
      </c>
      <c r="G50" s="66"/>
      <c r="H50" s="66"/>
      <c r="I50" s="66"/>
      <c r="J50" s="30">
        <v>1.5</v>
      </c>
      <c r="K50" s="30"/>
      <c r="L50" s="30"/>
      <c r="M50" s="30"/>
      <c r="N50" s="34">
        <v>1.3</v>
      </c>
      <c r="O50" s="30"/>
      <c r="P50" s="30"/>
      <c r="Q50" s="30"/>
      <c r="R50" s="66">
        <f>F50*N50</f>
        <v>28600</v>
      </c>
      <c r="S50" s="47"/>
      <c r="T50" s="24"/>
      <c r="U50" s="25"/>
      <c r="W50" s="27"/>
      <c r="X50" s="27"/>
      <c r="Y50" s="27"/>
      <c r="Z50" s="27"/>
      <c r="AA50" s="27"/>
      <c r="AB50" s="27"/>
      <c r="AC50" s="27"/>
    </row>
    <row r="51" spans="1:31" s="26" customFormat="1" ht="55.5" customHeight="1">
      <c r="A51" s="19"/>
      <c r="B51" s="64">
        <v>2676</v>
      </c>
      <c r="C51" s="65" t="s">
        <v>77</v>
      </c>
      <c r="D51" s="64" t="s">
        <v>13</v>
      </c>
      <c r="E51" s="64" t="s">
        <v>14</v>
      </c>
      <c r="F51" s="66">
        <v>17000</v>
      </c>
      <c r="G51" s="66"/>
      <c r="H51" s="66"/>
      <c r="I51" s="66"/>
      <c r="J51" s="30">
        <v>1.5</v>
      </c>
      <c r="K51" s="30"/>
      <c r="L51" s="30"/>
      <c r="M51" s="30"/>
      <c r="N51" s="34">
        <v>1.3</v>
      </c>
      <c r="O51" s="30"/>
      <c r="P51" s="30"/>
      <c r="Q51" s="30"/>
      <c r="R51" s="66">
        <f t="shared" ref="R51:R59" si="6">F51*N51</f>
        <v>22100</v>
      </c>
      <c r="S51" s="47"/>
      <c r="T51" s="24"/>
      <c r="U51" s="25"/>
      <c r="W51" s="27"/>
      <c r="X51" s="27"/>
      <c r="Y51" s="27"/>
      <c r="Z51" s="27"/>
      <c r="AA51" s="27"/>
      <c r="AB51" s="27"/>
      <c r="AC51" s="27"/>
    </row>
    <row r="52" spans="1:31" s="26" customFormat="1" ht="55.5" customHeight="1">
      <c r="A52" s="19"/>
      <c r="B52" s="64">
        <v>2677</v>
      </c>
      <c r="C52" s="65" t="s">
        <v>78</v>
      </c>
      <c r="D52" s="64" t="s">
        <v>13</v>
      </c>
      <c r="E52" s="64" t="s">
        <v>14</v>
      </c>
      <c r="F52" s="66">
        <v>15000</v>
      </c>
      <c r="G52" s="66"/>
      <c r="H52" s="66"/>
      <c r="I52" s="66"/>
      <c r="J52" s="30">
        <v>1.6</v>
      </c>
      <c r="K52" s="30"/>
      <c r="L52" s="30"/>
      <c r="M52" s="30"/>
      <c r="N52" s="34">
        <v>1.3</v>
      </c>
      <c r="O52" s="30"/>
      <c r="P52" s="30"/>
      <c r="Q52" s="30"/>
      <c r="R52" s="66">
        <f t="shared" si="6"/>
        <v>19500</v>
      </c>
      <c r="S52" s="47"/>
      <c r="T52" s="24"/>
      <c r="U52" s="25"/>
      <c r="W52" s="27"/>
      <c r="X52" s="27"/>
      <c r="Y52" s="27"/>
      <c r="Z52" s="27"/>
      <c r="AA52" s="27"/>
      <c r="AB52" s="27"/>
      <c r="AC52" s="27"/>
    </row>
    <row r="53" spans="1:31" s="26" customFormat="1" ht="57" customHeight="1">
      <c r="A53" s="19"/>
      <c r="B53" s="64">
        <v>2678</v>
      </c>
      <c r="C53" s="65" t="s">
        <v>79</v>
      </c>
      <c r="D53" s="64" t="s">
        <v>13</v>
      </c>
      <c r="E53" s="64" t="s">
        <v>14</v>
      </c>
      <c r="F53" s="66">
        <v>10000</v>
      </c>
      <c r="G53" s="66"/>
      <c r="H53" s="66"/>
      <c r="I53" s="66"/>
      <c r="J53" s="30">
        <v>1.8</v>
      </c>
      <c r="K53" s="30"/>
      <c r="L53" s="30"/>
      <c r="M53" s="30"/>
      <c r="N53" s="34">
        <v>1.3</v>
      </c>
      <c r="O53" s="30"/>
      <c r="P53" s="30"/>
      <c r="Q53" s="30"/>
      <c r="R53" s="66">
        <f t="shared" si="6"/>
        <v>13000</v>
      </c>
      <c r="S53" s="33"/>
      <c r="T53" s="24"/>
      <c r="U53" s="25"/>
      <c r="W53" s="27"/>
      <c r="X53" s="27"/>
      <c r="Y53" s="27"/>
      <c r="Z53" s="27"/>
      <c r="AA53" s="27"/>
      <c r="AB53" s="27"/>
      <c r="AC53" s="27"/>
    </row>
    <row r="54" spans="1:31" s="26" customFormat="1" ht="60.75" customHeight="1">
      <c r="A54" s="19"/>
      <c r="B54" s="64">
        <v>2683</v>
      </c>
      <c r="C54" s="65" t="s">
        <v>125</v>
      </c>
      <c r="D54" s="64" t="s">
        <v>73</v>
      </c>
      <c r="E54" s="64" t="s">
        <v>126</v>
      </c>
      <c r="F54" s="66">
        <v>13500</v>
      </c>
      <c r="G54" s="66">
        <v>6900</v>
      </c>
      <c r="H54" s="66">
        <v>3900</v>
      </c>
      <c r="I54" s="66">
        <v>3100</v>
      </c>
      <c r="J54" s="30">
        <v>1.3</v>
      </c>
      <c r="K54" s="30"/>
      <c r="L54" s="30"/>
      <c r="M54" s="30"/>
      <c r="N54" s="34">
        <v>1.3</v>
      </c>
      <c r="O54" s="30"/>
      <c r="P54" s="30"/>
      <c r="Q54" s="30"/>
      <c r="R54" s="66">
        <f t="shared" si="6"/>
        <v>17550</v>
      </c>
      <c r="S54" s="63" t="s">
        <v>127</v>
      </c>
      <c r="T54" s="24"/>
      <c r="U54" s="25"/>
      <c r="W54" s="27"/>
      <c r="X54" s="27"/>
      <c r="Y54" s="27"/>
      <c r="Z54" s="27"/>
      <c r="AA54" s="27"/>
      <c r="AB54" s="27"/>
      <c r="AC54" s="27"/>
    </row>
    <row r="55" spans="1:31" s="26" customFormat="1" ht="42.75" customHeight="1">
      <c r="A55" s="19"/>
      <c r="B55" s="64">
        <v>2689</v>
      </c>
      <c r="C55" s="65" t="s">
        <v>80</v>
      </c>
      <c r="D55" s="64" t="s">
        <v>13</v>
      </c>
      <c r="E55" s="64" t="s">
        <v>14</v>
      </c>
      <c r="F55" s="66">
        <v>4500</v>
      </c>
      <c r="G55" s="66">
        <v>2300</v>
      </c>
      <c r="H55" s="66">
        <v>1800</v>
      </c>
      <c r="I55" s="66">
        <v>1400</v>
      </c>
      <c r="J55" s="30">
        <v>1.7</v>
      </c>
      <c r="K55" s="30">
        <v>1.7</v>
      </c>
      <c r="L55" s="30">
        <v>1.7</v>
      </c>
      <c r="M55" s="30">
        <v>1.7</v>
      </c>
      <c r="N55" s="30">
        <v>1.3</v>
      </c>
      <c r="O55" s="30">
        <v>1.3</v>
      </c>
      <c r="P55" s="30">
        <v>1.3</v>
      </c>
      <c r="Q55" s="30">
        <v>1.3</v>
      </c>
      <c r="R55" s="66">
        <f t="shared" si="6"/>
        <v>5850</v>
      </c>
      <c r="S55" s="32" t="s">
        <v>140</v>
      </c>
      <c r="T55" s="24"/>
      <c r="U55" s="25"/>
      <c r="V55" s="67"/>
      <c r="W55" s="68"/>
      <c r="X55" s="68"/>
      <c r="Y55" s="68"/>
      <c r="Z55" s="68"/>
      <c r="AA55" s="68"/>
      <c r="AB55" s="68"/>
      <c r="AC55" s="68"/>
      <c r="AD55" s="67"/>
      <c r="AE55" s="67"/>
    </row>
    <row r="56" spans="1:31" s="26" customFormat="1" ht="39.75" customHeight="1">
      <c r="A56" s="19"/>
      <c r="B56" s="64">
        <v>2709</v>
      </c>
      <c r="C56" s="65" t="s">
        <v>81</v>
      </c>
      <c r="D56" s="64" t="s">
        <v>73</v>
      </c>
      <c r="E56" s="64" t="s">
        <v>82</v>
      </c>
      <c r="F56" s="66">
        <v>15000</v>
      </c>
      <c r="G56" s="66">
        <v>7700</v>
      </c>
      <c r="H56" s="66">
        <v>4300</v>
      </c>
      <c r="I56" s="66">
        <v>3400</v>
      </c>
      <c r="J56" s="30">
        <v>1.5</v>
      </c>
      <c r="K56" s="30">
        <v>1.5</v>
      </c>
      <c r="L56" s="30">
        <v>1.5</v>
      </c>
      <c r="M56" s="30">
        <v>1.5</v>
      </c>
      <c r="N56" s="30">
        <v>1.3</v>
      </c>
      <c r="O56" s="30">
        <v>1.3</v>
      </c>
      <c r="P56" s="30">
        <v>1.3</v>
      </c>
      <c r="Q56" s="30">
        <v>1.3</v>
      </c>
      <c r="R56" s="66">
        <f t="shared" si="6"/>
        <v>19500</v>
      </c>
      <c r="S56" s="47"/>
      <c r="T56" s="24"/>
      <c r="U56" s="25"/>
      <c r="V56" s="67"/>
      <c r="W56" s="68"/>
      <c r="X56" s="68"/>
      <c r="Y56" s="68"/>
      <c r="Z56" s="68"/>
      <c r="AA56" s="68"/>
      <c r="AB56" s="68"/>
      <c r="AC56" s="68"/>
      <c r="AD56" s="67"/>
      <c r="AE56" s="67"/>
    </row>
    <row r="57" spans="1:31" s="26" customFormat="1" ht="39" customHeight="1">
      <c r="A57" s="19"/>
      <c r="B57" s="64">
        <v>2714</v>
      </c>
      <c r="C57" s="65" t="s">
        <v>83</v>
      </c>
      <c r="D57" s="64" t="s">
        <v>84</v>
      </c>
      <c r="E57" s="64" t="s">
        <v>85</v>
      </c>
      <c r="F57" s="66">
        <v>4000</v>
      </c>
      <c r="G57" s="66">
        <v>2100</v>
      </c>
      <c r="H57" s="66">
        <v>1600</v>
      </c>
      <c r="I57" s="66">
        <v>1300</v>
      </c>
      <c r="J57" s="30">
        <v>1.7</v>
      </c>
      <c r="K57" s="30">
        <v>1.7</v>
      </c>
      <c r="L57" s="30">
        <v>1.7</v>
      </c>
      <c r="M57" s="30">
        <v>1.7</v>
      </c>
      <c r="N57" s="30">
        <v>1.3</v>
      </c>
      <c r="O57" s="30">
        <v>1.3</v>
      </c>
      <c r="P57" s="30">
        <v>1.3</v>
      </c>
      <c r="Q57" s="30">
        <v>1.3</v>
      </c>
      <c r="R57" s="66">
        <f t="shared" si="6"/>
        <v>5200</v>
      </c>
      <c r="S57" s="47"/>
      <c r="T57" s="24"/>
      <c r="U57" s="25"/>
      <c r="V57" s="67"/>
      <c r="W57" s="68"/>
      <c r="X57" s="68"/>
      <c r="Y57" s="68"/>
      <c r="Z57" s="68"/>
      <c r="AA57" s="68"/>
      <c r="AB57" s="68"/>
      <c r="AC57" s="68"/>
      <c r="AD57" s="67"/>
      <c r="AE57" s="67"/>
    </row>
    <row r="58" spans="1:31" s="26" customFormat="1" ht="39.75" customHeight="1">
      <c r="A58" s="19"/>
      <c r="B58" s="64">
        <v>2716</v>
      </c>
      <c r="C58" s="65" t="s">
        <v>86</v>
      </c>
      <c r="D58" s="64" t="s">
        <v>13</v>
      </c>
      <c r="E58" s="64" t="s">
        <v>14</v>
      </c>
      <c r="F58" s="66">
        <v>4000</v>
      </c>
      <c r="G58" s="66">
        <v>2100</v>
      </c>
      <c r="H58" s="66">
        <v>1600</v>
      </c>
      <c r="I58" s="66">
        <v>1300</v>
      </c>
      <c r="J58" s="30">
        <v>1.7</v>
      </c>
      <c r="K58" s="30">
        <v>1.7</v>
      </c>
      <c r="L58" s="30">
        <v>1.7</v>
      </c>
      <c r="M58" s="30">
        <v>1.7</v>
      </c>
      <c r="N58" s="30">
        <v>1.3</v>
      </c>
      <c r="O58" s="30">
        <v>1.3</v>
      </c>
      <c r="P58" s="30">
        <v>1.3</v>
      </c>
      <c r="Q58" s="30">
        <v>1.3</v>
      </c>
      <c r="R58" s="66">
        <f t="shared" si="6"/>
        <v>5200</v>
      </c>
      <c r="S58" s="47"/>
      <c r="T58" s="24"/>
      <c r="U58" s="25"/>
      <c r="V58" s="67"/>
      <c r="W58" s="68"/>
      <c r="X58" s="68"/>
      <c r="Y58" s="68"/>
      <c r="Z58" s="68"/>
      <c r="AA58" s="68"/>
      <c r="AB58" s="68"/>
      <c r="AC58" s="68"/>
      <c r="AD58" s="67"/>
      <c r="AE58" s="67"/>
    </row>
    <row r="59" spans="1:31" s="26" customFormat="1" ht="39.75" customHeight="1">
      <c r="A59" s="19"/>
      <c r="B59" s="64">
        <v>2717</v>
      </c>
      <c r="C59" s="65" t="s">
        <v>87</v>
      </c>
      <c r="D59" s="64" t="s">
        <v>13</v>
      </c>
      <c r="E59" s="64" t="s">
        <v>14</v>
      </c>
      <c r="F59" s="66">
        <v>3000</v>
      </c>
      <c r="G59" s="66">
        <v>1700</v>
      </c>
      <c r="H59" s="66">
        <v>1300</v>
      </c>
      <c r="I59" s="66">
        <v>1100</v>
      </c>
      <c r="J59" s="30">
        <v>1.7</v>
      </c>
      <c r="K59" s="30">
        <v>1.7</v>
      </c>
      <c r="L59" s="30">
        <v>1.7</v>
      </c>
      <c r="M59" s="30">
        <v>1.7</v>
      </c>
      <c r="N59" s="30">
        <v>1.3</v>
      </c>
      <c r="O59" s="30">
        <v>1.3</v>
      </c>
      <c r="P59" s="30">
        <v>1.3</v>
      </c>
      <c r="Q59" s="30">
        <v>1.3</v>
      </c>
      <c r="R59" s="66">
        <f t="shared" si="6"/>
        <v>3900</v>
      </c>
      <c r="S59" s="33"/>
      <c r="T59" s="24"/>
      <c r="U59" s="25"/>
      <c r="V59" s="67"/>
      <c r="W59" s="68"/>
      <c r="X59" s="68"/>
      <c r="Y59" s="68"/>
      <c r="Z59" s="68"/>
      <c r="AA59" s="68"/>
      <c r="AB59" s="68"/>
      <c r="AC59" s="68"/>
      <c r="AD59" s="67"/>
      <c r="AE59" s="67"/>
    </row>
    <row r="60" spans="1:31" s="26" customFormat="1" ht="33" customHeight="1">
      <c r="A60" s="19">
        <v>7</v>
      </c>
      <c r="B60" s="50"/>
      <c r="C60" s="22" t="s">
        <v>33</v>
      </c>
      <c r="D60" s="19"/>
      <c r="E60" s="19"/>
      <c r="F60" s="2"/>
      <c r="G60" s="2"/>
      <c r="H60" s="2"/>
      <c r="I60" s="2"/>
      <c r="J60" s="20"/>
      <c r="K60" s="20"/>
      <c r="L60" s="20"/>
      <c r="M60" s="20"/>
      <c r="N60" s="20"/>
      <c r="O60" s="20"/>
      <c r="P60" s="20"/>
      <c r="Q60" s="20"/>
      <c r="R60" s="18"/>
      <c r="S60" s="21"/>
      <c r="T60" s="24"/>
      <c r="U60" s="25"/>
      <c r="V60" s="67"/>
      <c r="W60" s="68"/>
      <c r="X60" s="68"/>
      <c r="Y60" s="68"/>
      <c r="Z60" s="68"/>
      <c r="AA60" s="68"/>
      <c r="AB60" s="68"/>
      <c r="AC60" s="68"/>
      <c r="AD60" s="67"/>
      <c r="AE60" s="67"/>
    </row>
    <row r="61" spans="1:31" ht="44" customHeight="1">
      <c r="A61" s="39"/>
      <c r="B61" s="39">
        <v>2782</v>
      </c>
      <c r="C61" s="48" t="s">
        <v>34</v>
      </c>
      <c r="D61" s="41" t="s">
        <v>92</v>
      </c>
      <c r="E61" s="41" t="s">
        <v>35</v>
      </c>
      <c r="F61" s="69">
        <v>20000</v>
      </c>
      <c r="G61" s="69">
        <v>8000</v>
      </c>
      <c r="H61" s="69">
        <v>4000</v>
      </c>
      <c r="I61" s="69">
        <v>3200</v>
      </c>
      <c r="J61" s="3">
        <v>1.1000000000000001</v>
      </c>
      <c r="K61" s="3">
        <v>1.4450000000000001</v>
      </c>
      <c r="L61" s="3">
        <v>1.3</v>
      </c>
      <c r="M61" s="3">
        <v>1.3</v>
      </c>
      <c r="N61" s="3">
        <v>1.02</v>
      </c>
      <c r="O61" s="3">
        <v>1.4450000000000001</v>
      </c>
      <c r="P61" s="3">
        <v>1.3</v>
      </c>
      <c r="Q61" s="3">
        <v>1.1000000000000001</v>
      </c>
      <c r="R61" s="1">
        <f t="shared" ref="R61:R66" si="7">N61*F61</f>
        <v>20400</v>
      </c>
      <c r="S61" s="70" t="s">
        <v>141</v>
      </c>
      <c r="U61" s="8" t="s">
        <v>111</v>
      </c>
      <c r="V61" s="71"/>
      <c r="W61" s="72">
        <f>N61*F61</f>
        <v>20400</v>
      </c>
      <c r="X61" s="72">
        <f t="shared" ref="X61:Z61" si="8">O61*G61</f>
        <v>11560</v>
      </c>
      <c r="Y61" s="72">
        <f t="shared" si="8"/>
        <v>5200</v>
      </c>
      <c r="Z61" s="72">
        <f t="shared" si="8"/>
        <v>3520.0000000000005</v>
      </c>
      <c r="AA61" s="72"/>
      <c r="AB61" s="73">
        <f>X61/W61</f>
        <v>0.56666666666666665</v>
      </c>
      <c r="AC61" s="73">
        <f>Y61/W61</f>
        <v>0.25490196078431371</v>
      </c>
      <c r="AD61" s="73">
        <f>Z61/W61</f>
        <v>0.17254901960784316</v>
      </c>
      <c r="AE61" s="73"/>
    </row>
    <row r="62" spans="1:31" ht="41.25" customHeight="1">
      <c r="A62" s="39"/>
      <c r="B62" s="39">
        <v>2784</v>
      </c>
      <c r="C62" s="48" t="s">
        <v>36</v>
      </c>
      <c r="D62" s="41" t="s">
        <v>34</v>
      </c>
      <c r="E62" s="41" t="s">
        <v>37</v>
      </c>
      <c r="F62" s="69">
        <v>15000</v>
      </c>
      <c r="G62" s="69">
        <v>7500</v>
      </c>
      <c r="H62" s="69">
        <v>3700</v>
      </c>
      <c r="I62" s="69">
        <v>3000</v>
      </c>
      <c r="J62" s="3">
        <v>1.456</v>
      </c>
      <c r="K62" s="3">
        <v>1.5413333333333334</v>
      </c>
      <c r="L62" s="3">
        <v>1.4054054054054055</v>
      </c>
      <c r="M62" s="3">
        <v>1.3866666666666667</v>
      </c>
      <c r="N62" s="3">
        <v>1.36</v>
      </c>
      <c r="O62" s="3">
        <v>1.54</v>
      </c>
      <c r="P62" s="3">
        <v>1.4</v>
      </c>
      <c r="Q62" s="3">
        <v>1.17</v>
      </c>
      <c r="R62" s="1">
        <f t="shared" si="7"/>
        <v>20400</v>
      </c>
      <c r="S62" s="70"/>
      <c r="U62" s="8" t="s">
        <v>112</v>
      </c>
      <c r="V62" s="71"/>
      <c r="W62" s="72">
        <f t="shared" ref="W62:W66" si="9">N62*F62</f>
        <v>20400</v>
      </c>
      <c r="X62" s="72">
        <f t="shared" ref="X62:X66" si="10">O62*G62</f>
        <v>11550</v>
      </c>
      <c r="Y62" s="72">
        <f t="shared" ref="Y62:Y66" si="11">P62*H62</f>
        <v>5180</v>
      </c>
      <c r="Z62" s="72">
        <f t="shared" ref="Z62:Z66" si="12">Q62*I62</f>
        <v>3510</v>
      </c>
      <c r="AA62" s="72"/>
      <c r="AB62" s="73">
        <f t="shared" ref="AB62:AB66" si="13">X62/W62</f>
        <v>0.56617647058823528</v>
      </c>
      <c r="AC62" s="73">
        <f t="shared" ref="AC62:AC66" si="14">Y62/W62</f>
        <v>0.25392156862745097</v>
      </c>
      <c r="AD62" s="73">
        <f t="shared" ref="AD62:AD66" si="15">Z62/W62</f>
        <v>0.17205882352941176</v>
      </c>
      <c r="AE62" s="73"/>
    </row>
    <row r="63" spans="1:31" ht="74.75" customHeight="1">
      <c r="A63" s="39"/>
      <c r="B63" s="39">
        <v>2786</v>
      </c>
      <c r="C63" s="48" t="s">
        <v>38</v>
      </c>
      <c r="D63" s="41" t="s">
        <v>39</v>
      </c>
      <c r="E63" s="41" t="s">
        <v>40</v>
      </c>
      <c r="F63" s="69">
        <v>13650</v>
      </c>
      <c r="G63" s="69">
        <v>6800</v>
      </c>
      <c r="H63" s="69">
        <v>3400</v>
      </c>
      <c r="I63" s="69">
        <v>2700</v>
      </c>
      <c r="J63" s="3">
        <v>1.6000000000000003</v>
      </c>
      <c r="K63" s="3">
        <v>1.7</v>
      </c>
      <c r="L63" s="3">
        <v>1.5294117647058825</v>
      </c>
      <c r="M63" s="3">
        <v>1.5407407407407407</v>
      </c>
      <c r="N63" s="3">
        <v>1.4</v>
      </c>
      <c r="O63" s="3">
        <v>1.4</v>
      </c>
      <c r="P63" s="3">
        <v>1.2</v>
      </c>
      <c r="Q63" s="3">
        <v>1.1000000000000001</v>
      </c>
      <c r="R63" s="1">
        <f t="shared" si="7"/>
        <v>19110</v>
      </c>
      <c r="S63" s="70"/>
      <c r="U63" s="8" t="s">
        <v>113</v>
      </c>
      <c r="V63" s="71"/>
      <c r="W63" s="72">
        <f t="shared" si="9"/>
        <v>19110</v>
      </c>
      <c r="X63" s="72">
        <f t="shared" si="10"/>
        <v>9520</v>
      </c>
      <c r="Y63" s="72">
        <f t="shared" si="11"/>
        <v>4080</v>
      </c>
      <c r="Z63" s="72">
        <f t="shared" si="12"/>
        <v>2970.0000000000005</v>
      </c>
      <c r="AA63" s="72"/>
      <c r="AB63" s="73">
        <f t="shared" si="13"/>
        <v>0.49816849816849818</v>
      </c>
      <c r="AC63" s="73">
        <f t="shared" si="14"/>
        <v>0.21350078492935637</v>
      </c>
      <c r="AD63" s="73">
        <f t="shared" si="15"/>
        <v>0.15541601255886972</v>
      </c>
      <c r="AE63" s="73"/>
    </row>
    <row r="64" spans="1:31" ht="43.5" customHeight="1">
      <c r="A64" s="39"/>
      <c r="B64" s="39">
        <v>2799</v>
      </c>
      <c r="C64" s="48" t="s">
        <v>41</v>
      </c>
      <c r="D64" s="74" t="s">
        <v>42</v>
      </c>
      <c r="E64" s="74" t="s">
        <v>43</v>
      </c>
      <c r="F64" s="75">
        <v>10500</v>
      </c>
      <c r="G64" s="75">
        <v>5100</v>
      </c>
      <c r="H64" s="75">
        <v>2500</v>
      </c>
      <c r="I64" s="75">
        <v>2000</v>
      </c>
      <c r="J64" s="3">
        <v>1.7</v>
      </c>
      <c r="K64" s="4">
        <v>2.1</v>
      </c>
      <c r="L64" s="4">
        <v>1.8</v>
      </c>
      <c r="M64" s="4">
        <v>1.5</v>
      </c>
      <c r="N64" s="3">
        <v>1.4</v>
      </c>
      <c r="O64" s="3">
        <v>1.4</v>
      </c>
      <c r="P64" s="3">
        <v>1.3</v>
      </c>
      <c r="Q64" s="3">
        <v>1.1000000000000001</v>
      </c>
      <c r="R64" s="1">
        <f t="shared" si="7"/>
        <v>14699.999999999998</v>
      </c>
      <c r="S64" s="70" t="s">
        <v>142</v>
      </c>
      <c r="T64" s="24" t="s">
        <v>96</v>
      </c>
      <c r="U64" s="8" t="s">
        <v>116</v>
      </c>
      <c r="V64" s="71"/>
      <c r="W64" s="72">
        <f t="shared" si="9"/>
        <v>14699.999999999998</v>
      </c>
      <c r="X64" s="72">
        <f t="shared" si="10"/>
        <v>7140</v>
      </c>
      <c r="Y64" s="72">
        <f t="shared" si="11"/>
        <v>3250</v>
      </c>
      <c r="Z64" s="72">
        <f t="shared" si="12"/>
        <v>2200</v>
      </c>
      <c r="AA64" s="72"/>
      <c r="AB64" s="73">
        <f t="shared" si="13"/>
        <v>0.48571428571428577</v>
      </c>
      <c r="AC64" s="73">
        <f t="shared" si="14"/>
        <v>0.22108843537414968</v>
      </c>
      <c r="AD64" s="73">
        <f t="shared" si="15"/>
        <v>0.14965986394557826</v>
      </c>
      <c r="AE64" s="73"/>
    </row>
    <row r="65" spans="1:31" ht="43.5" customHeight="1">
      <c r="A65" s="39"/>
      <c r="B65" s="39">
        <v>2800</v>
      </c>
      <c r="C65" s="48" t="s">
        <v>44</v>
      </c>
      <c r="D65" s="74" t="s">
        <v>91</v>
      </c>
      <c r="E65" s="74" t="s">
        <v>45</v>
      </c>
      <c r="F65" s="75">
        <v>10500</v>
      </c>
      <c r="G65" s="75">
        <v>5100</v>
      </c>
      <c r="H65" s="75">
        <v>2600</v>
      </c>
      <c r="I65" s="75">
        <v>2000</v>
      </c>
      <c r="J65" s="3">
        <v>1.7</v>
      </c>
      <c r="K65" s="3">
        <v>1.1009523809523809</v>
      </c>
      <c r="L65" s="3">
        <v>1.1538461538461537</v>
      </c>
      <c r="M65" s="3">
        <v>1.2000000000000002</v>
      </c>
      <c r="N65" s="3">
        <v>1.3</v>
      </c>
      <c r="O65" s="3">
        <v>1.3</v>
      </c>
      <c r="P65" s="3">
        <v>1.2</v>
      </c>
      <c r="Q65" s="3">
        <v>1</v>
      </c>
      <c r="R65" s="1">
        <f t="shared" si="7"/>
        <v>13650</v>
      </c>
      <c r="S65" s="70"/>
      <c r="T65" s="24"/>
      <c r="U65" s="8" t="s">
        <v>115</v>
      </c>
      <c r="V65" s="71"/>
      <c r="W65" s="72">
        <f t="shared" si="9"/>
        <v>13650</v>
      </c>
      <c r="X65" s="72">
        <f t="shared" si="10"/>
        <v>6630</v>
      </c>
      <c r="Y65" s="72">
        <f t="shared" si="11"/>
        <v>3120</v>
      </c>
      <c r="Z65" s="72">
        <f t="shared" si="12"/>
        <v>2000</v>
      </c>
      <c r="AA65" s="72"/>
      <c r="AB65" s="73">
        <f t="shared" si="13"/>
        <v>0.48571428571428571</v>
      </c>
      <c r="AC65" s="73">
        <f>Y65/W65</f>
        <v>0.22857142857142856</v>
      </c>
      <c r="AD65" s="73">
        <f t="shared" si="15"/>
        <v>0.14652014652014653</v>
      </c>
      <c r="AE65" s="73"/>
    </row>
    <row r="66" spans="1:31" ht="47.25" customHeight="1">
      <c r="A66" s="39"/>
      <c r="B66" s="39">
        <v>2800</v>
      </c>
      <c r="C66" s="48" t="s">
        <v>44</v>
      </c>
      <c r="D66" s="41" t="s">
        <v>46</v>
      </c>
      <c r="E66" s="41" t="s">
        <v>47</v>
      </c>
      <c r="F66" s="69">
        <v>10500</v>
      </c>
      <c r="G66" s="69">
        <v>5100</v>
      </c>
      <c r="H66" s="69">
        <v>2600</v>
      </c>
      <c r="I66" s="69">
        <v>2000</v>
      </c>
      <c r="J66" s="3">
        <v>1.6999999999999997</v>
      </c>
      <c r="K66" s="3">
        <v>2.1</v>
      </c>
      <c r="L66" s="3">
        <v>1.7307692307692306</v>
      </c>
      <c r="M66" s="3">
        <v>1.5</v>
      </c>
      <c r="N66" s="3">
        <v>1.3</v>
      </c>
      <c r="O66" s="3">
        <v>1.3</v>
      </c>
      <c r="P66" s="3">
        <v>1.2</v>
      </c>
      <c r="Q66" s="3">
        <v>1</v>
      </c>
      <c r="R66" s="1">
        <f t="shared" si="7"/>
        <v>13650</v>
      </c>
      <c r="S66" s="70"/>
      <c r="T66" s="24" t="s">
        <v>96</v>
      </c>
      <c r="U66" s="8" t="s">
        <v>115</v>
      </c>
      <c r="V66" s="71"/>
      <c r="W66" s="72">
        <f t="shared" si="9"/>
        <v>13650</v>
      </c>
      <c r="X66" s="72">
        <f t="shared" si="10"/>
        <v>6630</v>
      </c>
      <c r="Y66" s="72">
        <f t="shared" si="11"/>
        <v>3120</v>
      </c>
      <c r="Z66" s="72">
        <f t="shared" si="12"/>
        <v>2000</v>
      </c>
      <c r="AA66" s="72"/>
      <c r="AB66" s="73">
        <f t="shared" si="13"/>
        <v>0.48571428571428571</v>
      </c>
      <c r="AC66" s="73">
        <f t="shared" si="14"/>
        <v>0.22857142857142856</v>
      </c>
      <c r="AD66" s="73">
        <f t="shared" si="15"/>
        <v>0.14652014652014653</v>
      </c>
      <c r="AE66" s="73"/>
    </row>
    <row r="67" spans="1:31" s="26" customFormat="1" ht="34.5" customHeight="1">
      <c r="A67" s="19">
        <v>8</v>
      </c>
      <c r="B67" s="19"/>
      <c r="C67" s="22" t="s">
        <v>154</v>
      </c>
      <c r="D67" s="19"/>
      <c r="E67" s="19"/>
      <c r="F67" s="18"/>
      <c r="G67" s="18"/>
      <c r="H67" s="18"/>
      <c r="I67" s="18"/>
      <c r="J67" s="18"/>
      <c r="K67" s="18"/>
      <c r="L67" s="18"/>
      <c r="M67" s="18"/>
      <c r="N67" s="20"/>
      <c r="O67" s="20"/>
      <c r="P67" s="20"/>
      <c r="Q67" s="20"/>
      <c r="R67" s="18"/>
      <c r="S67" s="19"/>
      <c r="T67" s="24"/>
      <c r="U67" s="25"/>
      <c r="W67" s="27"/>
      <c r="X67" s="27"/>
      <c r="Y67" s="27"/>
      <c r="Z67" s="27"/>
      <c r="AA67" s="27"/>
      <c r="AB67" s="27"/>
      <c r="AC67" s="27"/>
    </row>
    <row r="68" spans="1:31" ht="80.25" customHeight="1">
      <c r="A68" s="39"/>
      <c r="B68" s="39">
        <v>2722</v>
      </c>
      <c r="C68" s="48" t="s">
        <v>155</v>
      </c>
      <c r="D68" s="39" t="s">
        <v>156</v>
      </c>
      <c r="E68" s="39" t="s">
        <v>157</v>
      </c>
      <c r="F68" s="49">
        <v>25000</v>
      </c>
      <c r="G68" s="49">
        <v>12600</v>
      </c>
      <c r="H68" s="49">
        <v>6300</v>
      </c>
      <c r="I68" s="49">
        <v>5000</v>
      </c>
      <c r="J68" s="44">
        <v>1.4</v>
      </c>
      <c r="K68" s="44">
        <v>1.4</v>
      </c>
      <c r="L68" s="44">
        <v>1.4</v>
      </c>
      <c r="M68" s="44">
        <v>1.4</v>
      </c>
      <c r="N68" s="44">
        <v>1</v>
      </c>
      <c r="O68" s="44">
        <v>1</v>
      </c>
      <c r="P68" s="44">
        <v>1</v>
      </c>
      <c r="Q68" s="44">
        <v>1</v>
      </c>
      <c r="R68" s="49">
        <f>N68*F68</f>
        <v>25000</v>
      </c>
      <c r="S68" s="39" t="s">
        <v>163</v>
      </c>
    </row>
    <row r="69" spans="1:31" ht="121.5" customHeight="1">
      <c r="A69" s="39"/>
      <c r="B69" s="39">
        <v>2755</v>
      </c>
      <c r="C69" s="48" t="s">
        <v>158</v>
      </c>
      <c r="D69" s="39" t="s">
        <v>159</v>
      </c>
      <c r="E69" s="39" t="s">
        <v>160</v>
      </c>
      <c r="F69" s="49">
        <v>10000</v>
      </c>
      <c r="G69" s="49">
        <v>5500</v>
      </c>
      <c r="H69" s="49">
        <v>2800</v>
      </c>
      <c r="I69" s="49">
        <v>2200</v>
      </c>
      <c r="J69" s="44">
        <v>1.7</v>
      </c>
      <c r="K69" s="44">
        <v>1.7</v>
      </c>
      <c r="L69" s="44">
        <v>1.7</v>
      </c>
      <c r="M69" s="44">
        <v>1.7</v>
      </c>
      <c r="N69" s="44">
        <v>1</v>
      </c>
      <c r="O69" s="44">
        <v>1</v>
      </c>
      <c r="P69" s="44">
        <v>1</v>
      </c>
      <c r="Q69" s="44">
        <v>1</v>
      </c>
      <c r="R69" s="49">
        <f t="shared" ref="R69:R70" si="16">N69*F69</f>
        <v>10000</v>
      </c>
      <c r="S69" s="39" t="s">
        <v>164</v>
      </c>
    </row>
    <row r="70" spans="1:31" ht="126" customHeight="1">
      <c r="A70" s="39"/>
      <c r="B70" s="39">
        <v>2756</v>
      </c>
      <c r="C70" s="48" t="s">
        <v>158</v>
      </c>
      <c r="D70" s="39" t="s">
        <v>161</v>
      </c>
      <c r="E70" s="39" t="s">
        <v>162</v>
      </c>
      <c r="F70" s="49">
        <v>8000</v>
      </c>
      <c r="G70" s="49">
        <v>4200</v>
      </c>
      <c r="H70" s="49">
        <v>2100</v>
      </c>
      <c r="I70" s="49">
        <v>1700</v>
      </c>
      <c r="J70" s="44">
        <v>1.8</v>
      </c>
      <c r="K70" s="44">
        <v>1.8</v>
      </c>
      <c r="L70" s="44">
        <v>1.8</v>
      </c>
      <c r="M70" s="44">
        <v>1.8</v>
      </c>
      <c r="N70" s="44">
        <v>1</v>
      </c>
      <c r="O70" s="44">
        <v>1</v>
      </c>
      <c r="P70" s="44">
        <v>1</v>
      </c>
      <c r="Q70" s="44">
        <v>1</v>
      </c>
      <c r="R70" s="49">
        <f t="shared" si="16"/>
        <v>8000</v>
      </c>
      <c r="S70" s="39" t="s">
        <v>164</v>
      </c>
    </row>
    <row r="71" spans="1:31" ht="27" customHeight="1">
      <c r="A71" s="39"/>
      <c r="B71" s="71"/>
      <c r="C71" s="71"/>
      <c r="D71" s="39"/>
      <c r="E71" s="39"/>
      <c r="F71" s="76"/>
      <c r="G71" s="76"/>
      <c r="H71" s="76"/>
      <c r="I71" s="76"/>
      <c r="J71" s="76"/>
      <c r="K71" s="76"/>
      <c r="L71" s="76"/>
      <c r="M71" s="76"/>
      <c r="N71" s="77"/>
      <c r="O71" s="77"/>
      <c r="P71" s="77"/>
      <c r="Q71" s="77"/>
      <c r="R71" s="76"/>
      <c r="S71" s="21"/>
    </row>
  </sheetData>
  <mergeCells count="29">
    <mergeCell ref="S43:S46"/>
    <mergeCell ref="S48:S53"/>
    <mergeCell ref="S30:S31"/>
    <mergeCell ref="S32:S33"/>
    <mergeCell ref="U25:U33"/>
    <mergeCell ref="S35:S38"/>
    <mergeCell ref="D29:E29"/>
    <mergeCell ref="S7:S8"/>
    <mergeCell ref="A4:A5"/>
    <mergeCell ref="D25:E25"/>
    <mergeCell ref="D26:E26"/>
    <mergeCell ref="D27:E27"/>
    <mergeCell ref="D28:E28"/>
    <mergeCell ref="S61:S63"/>
    <mergeCell ref="S64:S66"/>
    <mergeCell ref="B1:R1"/>
    <mergeCell ref="B2:R2"/>
    <mergeCell ref="P3:R3"/>
    <mergeCell ref="F4:I4"/>
    <mergeCell ref="N4:Q4"/>
    <mergeCell ref="B4:B5"/>
    <mergeCell ref="C4:C5"/>
    <mergeCell ref="D4:E4"/>
    <mergeCell ref="J4:M4"/>
    <mergeCell ref="S55:S59"/>
    <mergeCell ref="S40:S41"/>
    <mergeCell ref="S17:S20"/>
    <mergeCell ref="S21:S23"/>
    <mergeCell ref="S25:S29"/>
  </mergeCells>
  <printOptions horizontalCentered="1"/>
  <pageMargins left="0" right="0" top="0.74803149606299202" bottom="0.74803149606299202" header="0.31496062992126" footer="0.31496062992126"/>
  <pageSetup paperSize="9" scale="60" fitToHeight="0" orientation="landscape"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PL01-ODT</vt:lpstr>
      <vt:lpstr>'PL01-ODT'!Print_Titles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Microsoft Office User</cp:lastModifiedBy>
  <cp:lastPrinted>2026-07-01T00:43:54Z</cp:lastPrinted>
  <dcterms:created xsi:type="dcterms:W3CDTF">2026-05-06T03:05:38Z</dcterms:created>
  <dcterms:modified xsi:type="dcterms:W3CDTF">2026-07-01T00:44:07Z</dcterms:modified>
</cp:coreProperties>
</file>