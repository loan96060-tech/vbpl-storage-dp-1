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filterPrivacy="1" defaultThemeVersion="124226"/>
  <xr:revisionPtr revIDLastSave="0" documentId="13_ncr:1_{86C8D97B-16A0-4386-873B-861A0BF758B1}" xr6:coauthVersionLast="47" xr6:coauthVersionMax="47" xr10:uidLastSave="{00000000-0000-0000-0000-000000000000}"/>
  <bookViews>
    <workbookView xWindow="-120" yWindow="-120" windowWidth="29040" windowHeight="15840" firstSheet="10" activeTab="10" xr2:uid="{00000000-000D-0000-FFFF-FFFF00000000}"/>
  </bookViews>
  <sheets>
    <sheet name="SGV" sheetId="12" state="veryHidden" r:id="rId1"/>
    <sheet name="Kangatang" sheetId="14" state="veryHidden" r:id="rId2"/>
    <sheet name="Kangatang_2" sheetId="15" state="veryHidden" r:id="rId3"/>
    <sheet name="Kangatang_3" sheetId="16" state="veryHidden" r:id="rId4"/>
    <sheet name="Kangatang_4" sheetId="17" state="veryHidden" r:id="rId5"/>
    <sheet name="Kangatang_5" sheetId="18" state="veryHidden" r:id="rId6"/>
    <sheet name="Kangatang_6" sheetId="19" state="veryHidden" r:id="rId7"/>
    <sheet name="Kangatang_7" sheetId="20" state="veryHidden" r:id="rId8"/>
    <sheet name="Kangatang_8" sheetId="21" state="veryHidden" r:id="rId9"/>
    <sheet name="Kangatang_9" sheetId="22" state="veryHidden" r:id="rId10"/>
    <sheet name="Phu luc" sheetId="2" r:id="rId11"/>
  </sheets>
  <definedNames>
    <definedName name="_xlnm.Print_Area" localSheetId="10">'Phu luc'!$A$1:$E$62</definedName>
    <definedName name="_xlnm.Print_Titles" localSheetId="10">'Phu luc'!$8:$9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0" i="2" l="1"/>
  <c r="D16" i="2"/>
  <c r="D22" i="2"/>
  <c r="D11" i="2"/>
  <c r="D53" i="2" l="1"/>
  <c r="D20" i="2" l="1"/>
  <c r="D47" i="2" l="1"/>
  <c r="D51" i="2"/>
  <c r="D61" i="2" l="1"/>
  <c r="D57" i="2"/>
  <c r="D55" i="2"/>
  <c r="D46" i="2" l="1"/>
  <c r="D44" i="2"/>
  <c r="D42" i="2"/>
  <c r="D40" i="2"/>
  <c r="D38" i="2"/>
  <c r="D28" i="2"/>
  <c r="D14" i="2"/>
  <c r="D10" i="2" l="1"/>
</calcChain>
</file>

<file path=xl/sharedStrings.xml><?xml version="1.0" encoding="utf-8"?>
<sst xmlns="http://schemas.openxmlformats.org/spreadsheetml/2006/main" count="166" uniqueCount="114">
  <si>
    <t>STT</t>
  </si>
  <si>
    <t>Chủng loại</t>
  </si>
  <si>
    <t>Mục đích sử dụng chuyên dùng</t>
  </si>
  <si>
    <t>I</t>
  </si>
  <si>
    <t>Sở Văn hóa, Thể thao và Du lịch</t>
  </si>
  <si>
    <t>Sở Khoa học và Công nghệ</t>
  </si>
  <si>
    <t>Ban Quản lý Khu kinh tế tỉnh</t>
  </si>
  <si>
    <t>Trường Đại học Hà Tĩnh</t>
  </si>
  <si>
    <t>Trường Cao đẳng Nguyễn Du</t>
  </si>
  <si>
    <t>Vườn Quốc gia Vũ Quang</t>
  </si>
  <si>
    <t>Văn phòng UBND tỉnh</t>
  </si>
  <si>
    <t>Xe ô tô trên 16 chỗ</t>
  </si>
  <si>
    <t>Đưa đón các đoàn khách trong và ngoài nước</t>
  </si>
  <si>
    <t>Xe ô tô tải có cẩu tự hành</t>
  </si>
  <si>
    <t>Xử lý, vận chuyển lâm sản, tang vật tịch thu; thực hiện nhiệm vụ bảo vệ rừng, phòng cháy, chữa cháy rừng và cứu hộ, cứu nạn</t>
  </si>
  <si>
    <t xml:space="preserve">Chở cán bộ, diễn viên, kỹ thuật, Đội tuyên tuyền lưu động </t>
  </si>
  <si>
    <t>Xe thư viện đa phương tiện phục vụ cộng đồng dân cư, các xã vùng sâu, vùng xa (Xe ô tô tải gắn thêm thùng và thiết bị)</t>
  </si>
  <si>
    <t xml:space="preserve">Chở huấn luyện viên, vận động viên </t>
  </si>
  <si>
    <t>Chuyên chở học sinh, sinh viên, cán bộ, giảng viên đi thực tập, nghiên cứu thực tế</t>
  </si>
  <si>
    <t>Xe ô tô tải</t>
  </si>
  <si>
    <t>Xe chở rác</t>
  </si>
  <si>
    <t>3.1</t>
  </si>
  <si>
    <t>3.2</t>
  </si>
  <si>
    <t>3.3</t>
  </si>
  <si>
    <t>5.1</t>
  </si>
  <si>
    <t>Xe phục vụ tang lễ</t>
  </si>
  <si>
    <t xml:space="preserve">Phục vụ công tác tập huấn, chở nguyên vật liệu, vật mẫu, triển khai nhiệm vụ </t>
  </si>
  <si>
    <t>Phòng chống lụt bão và tìm kiếm cứu nạn</t>
  </si>
  <si>
    <t>Vận chuyển xử lý rác thải</t>
  </si>
  <si>
    <t>Xe ô tô tải thư viện lưu động</t>
  </si>
  <si>
    <t>Xe ô tô tải gắn cẩu tự hành</t>
  </si>
  <si>
    <t>Xe ô tô tưới nước</t>
  </si>
  <si>
    <t>Tưới nước rửa đường, tưới cây</t>
  </si>
  <si>
    <t>Hỗ trợ sữa chữa, duy tu đường</t>
  </si>
  <si>
    <t>Cắt cây, sửa chữa điện chiếu sáng</t>
  </si>
  <si>
    <t>5.2</t>
  </si>
  <si>
    <t>5.3</t>
  </si>
  <si>
    <t>Xe ô tô tải có gắn cần cẩu</t>
  </si>
  <si>
    <t xml:space="preserve">Sở Tư pháp </t>
  </si>
  <si>
    <t xml:space="preserve"> Phục vụ công tác duy tu, bảo dưỡng, sửa chữa các tuyến đường bộ và các công trình kết cấu hạ tầng trong địa bàn các Khu kinh tế, Khu công nghiệp</t>
  </si>
  <si>
    <t>CÁC CƠ QUAN, TỔ CHỨC, ĐƠN VỊ CẤP TỈNH</t>
  </si>
  <si>
    <t>Số lượng</t>
  </si>
  <si>
    <t>Sở Nông nghiệp và Môi trường</t>
  </si>
  <si>
    <t>Trung tâm Văn hóa, Điện ảnh và Xúc tiến du lịch tỉnh</t>
  </si>
  <si>
    <t>Trung tâm Quan trắc Tài nguyên và Môi trường</t>
  </si>
  <si>
    <t>Sở Y tế</t>
  </si>
  <si>
    <t>Phục vụ công tác vận chuyển rác thải</t>
  </si>
  <si>
    <t>UBND phường Thành Sen</t>
  </si>
  <si>
    <t>UBND phường Hà Huy Tập</t>
  </si>
  <si>
    <t>UBND phường Sông Trí</t>
  </si>
  <si>
    <t>CÁC XÃ, PHƯỜNG</t>
  </si>
  <si>
    <t>II</t>
  </si>
  <si>
    <t>Trung tâm Lưu trữ lịch sử tỉnh</t>
  </si>
  <si>
    <t>Sở Nội vụ</t>
  </si>
  <si>
    <t>Xe ô tô 16 chỗ gắn thiết bị chuyên dùng</t>
  </si>
  <si>
    <t>4.1</t>
  </si>
  <si>
    <t>Thư viện tỉnh</t>
  </si>
  <si>
    <t>UBND phường Trần Phú</t>
  </si>
  <si>
    <t>UBND xã Hồng Lộc</t>
  </si>
  <si>
    <t xml:space="preserve">UBND phường Bắc Hồng Lĩnh </t>
  </si>
  <si>
    <t>1.1</t>
  </si>
  <si>
    <t>1.2</t>
  </si>
  <si>
    <t>2.1</t>
  </si>
  <si>
    <t>6.1</t>
  </si>
  <si>
    <t>7.1</t>
  </si>
  <si>
    <t>8.1</t>
  </si>
  <si>
    <t>9.1</t>
  </si>
  <si>
    <t>10.1</t>
  </si>
  <si>
    <t>11.1</t>
  </si>
  <si>
    <t>Trung tâm Y tế Hương Sơn</t>
  </si>
  <si>
    <t>12.1</t>
  </si>
  <si>
    <t>1.3</t>
  </si>
  <si>
    <t>Xe ô tô tải gắn cần cẩu</t>
  </si>
  <si>
    <t>Phụ lục</t>
  </si>
  <si>
    <t>TIÊU CHUẨN, ĐỊNH MỨC SỬ DỤNG XE Ô TÔ CHUYÊN DÙNG (KHÔNG BAO GỒM</t>
  </si>
  <si>
    <t>Xe phòng chống thiên tai</t>
  </si>
  <si>
    <t>Cơ quan, tổ chức, đơn vị sử dụng
xe ô tô chuyên dùng</t>
  </si>
  <si>
    <t>Tiêu chuẩn, định mức</t>
  </si>
  <si>
    <t>Xe phòng chống thiên tai được gắn biển hiệu nhận biết theo quy định của pháp luật</t>
  </si>
  <si>
    <t>Văn phòng Đoàn ĐBQH và HĐND tỉnh</t>
  </si>
  <si>
    <t>Chi cục Kiểm lâm</t>
  </si>
  <si>
    <t>Ban Quản lý các Cảng cá và Khu neo đậu tránh trú bão tàu cá</t>
  </si>
  <si>
    <t>Phục vụ quan trắc, phân tích các thành phần môi trường trực tiếp tại hiện trường, xử lý ứng phó sự cố môi trường</t>
  </si>
  <si>
    <t>Xe ô tô trang bị phòng thí nghiệm</t>
  </si>
  <si>
    <t>Xe gắn thiết bị phóng thanh lưu động và chở tuyên truyền viên, thiết bị âm thanh, ánh sáng thưc hiện tuyên truyền lưu động theo Thông tư số 20/2014/TT-BVHTTDL ngày 09/12/2014 của Bộ Văn hóa, Thể thao và Du lịch quy định hoạt động của Đội Tuyên truyền lưu động cấp tỉnh, cấp huyện</t>
  </si>
  <si>
    <t>Nhà hát Nghệ thuật truyền thống Hà Tĩnh</t>
  </si>
  <si>
    <t>Trung tâm Huấn luyện và Thi đấu thể dục thể thao</t>
  </si>
  <si>
    <t>Trung tâm Kỹ thuật Tiêu chuẩn Đo lường Chất lượng</t>
  </si>
  <si>
    <t xml:space="preserve">Phục vụ vận chuyển chuẩn kiểm định cân ô tô, cân trạm trộn </t>
  </si>
  <si>
    <t xml:space="preserve">Phục vụ vận chuyển các loại vật tư thiết bị kỹ thuật xây dựng các mô hình khoa học công nghệ, các loại chế phẩm sinh học cho các địa phương xử lý môi trường phụ phẩm nông nghiệp, rác thải sinh hoạt, chất thải chăn nuôi...gắn với nông nghiẹp tuần hoàn và thực hiện tiêu chí môi trường trong xây dựng nông thôn mới </t>
  </si>
  <si>
    <t>Trung tâm Trợ giúp pháp lý Nhà nước Hà Tĩnh</t>
  </si>
  <si>
    <t>Phục vụ công tác truyền thông về trợ giúp pháp lý</t>
  </si>
  <si>
    <t>Trung tâm Xúc tiến đầu tư và Cung ứng dịch vụ Khu kinh tế tỉnh Hà Tĩnh</t>
  </si>
  <si>
    <t>Trường Cao đẳng Y tế Hà Tĩnh</t>
  </si>
  <si>
    <t>7.2</t>
  </si>
  <si>
    <t>Phục vụ công tác sưu tầm tài liệu lưu trữ quý, hiếm; kiểm tra hồ sơ, tài liệu nộp lưu và vận chuyển tài liệu lưu trữ</t>
  </si>
  <si>
    <t>5.4</t>
  </si>
  <si>
    <t>5.5</t>
  </si>
  <si>
    <t>7.3</t>
  </si>
  <si>
    <t>7.4</t>
  </si>
  <si>
    <t>8.2</t>
  </si>
  <si>
    <t xml:space="preserve">Trung tâm Dịch vụ tổng hợp phường Thành Sen </t>
  </si>
  <si>
    <t>Phục vụ công tác bảo đảm trật tự đô thị</t>
  </si>
  <si>
    <t xml:space="preserve">Trung tâm Dịch vụ tổng hợp phường Hà Huy Tập </t>
  </si>
  <si>
    <t>Trung tâm Dịch vụ tổng hợp phường Trần Phú</t>
  </si>
  <si>
    <t xml:space="preserve">Trung tâm Dịch vụ tổng hợp phường Bắc Hồng Lĩnh </t>
  </si>
  <si>
    <t>Trung tâm Dịch vụ tổng hợp phường Sông Trí</t>
  </si>
  <si>
    <t>Trung tâm Dịch vụ tổng hợp xã Hồng Lộc</t>
  </si>
  <si>
    <t>(Ban hành kèm theo Quyết định số:               /2026/QĐ-UBND ngày      tháng      năm 2026</t>
  </si>
  <si>
    <t>của Ủy ban nhân dân tỉnh Hà Tĩnh)</t>
  </si>
  <si>
    <t>XE Ô TÔ CHUYÊN DÙNG TRONG LĨNH VỰC Y TẾ) CỦA CÁC CƠ QUAN, TỔ CHỨC, ĐƠN VỊ</t>
  </si>
  <si>
    <t>Trung tâm Y tế Hồng Lĩnh</t>
  </si>
  <si>
    <t>THUỘC PHẠM VI QUẢN LÝ CỦA TỈNH HÀ TĨNH</t>
  </si>
  <si>
    <t>Trung tâm Điều hành thông minh, Khoa học, công nghệ và Đổi mới sáng tạo Hà Tĩnh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</si>
</sst>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_-* #,##0.00\ _₫_-;\-* #,##0.00\ _₫_-;_-* &quot;-&quot;??\ _₫_-;_-@_-"/>
    <numFmt numFmtId="166" formatCode="_-* #,##0.00\ _ _-;\-* #,##0.00\ _ _-;_-* &quot;-&quot;??\ _ _-;_-@_-"/>
  </numFmts>
  <fonts count="10" x14ac:knownFonts="1">
    <font>
      <sz val="11"/>
      <color theme="1"/>
      <name val="Calibri"/>
      <family val="2"/>
      <scheme val="minor"/>
    </font>
    <font>
      <sz val="11"/>
      <color theme="1"/>
      <name val="Calibri"/>
      <family val="2"/>
      <scheme val="minor"/>
    </font>
    <font>
      <sz val="10"/>
      <name val="Arial"/>
      <family val="2"/>
    </font>
    <font>
      <sz val="8"/>
      <name val="Calibri"/>
      <family val="2"/>
      <scheme val="minor"/>
    </font>
    <font>
      <sz val="12"/>
      <name val=".VnArial Narrow"/>
      <family val="2"/>
    </font>
    <font>
      <b/>
      <sz val="12"/>
      <name val="Times New Roman"/>
      <family val="1"/>
    </font>
    <font>
      <sz val="12"/>
      <name val="Times New Roman"/>
      <family val="1"/>
    </font>
    <font>
      <b/>
      <sz val="13"/>
      <name val="Times New Roman"/>
      <family val="1"/>
    </font>
    <font>
      <i/>
      <sz val="13"/>
      <name val="Times New Roman"/>
      <family val="1"/>
    </font>
    <font>
      <sz val="13"/>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2" fillId="0" borderId="0"/>
    <xf numFmtId="165" fontId="1" fillId="0" borderId="0" applyFont="0" applyFill="0" applyBorder="0" applyAlignment="0" applyProtection="0"/>
    <xf numFmtId="166" fontId="1" fillId="0" borderId="0" applyFont="0" applyFill="0" applyBorder="0" applyAlignment="0" applyProtection="0"/>
    <xf numFmtId="0" fontId="4" fillId="0" borderId="0"/>
  </cellStyleXfs>
  <cellXfs count="15">
    <xf numFmtId="0" fontId="0" fillId="0" borderId="0" xfId="0"/>
    <xf numFmtId="0" fontId="5" fillId="0" borderId="0" xfId="0" applyFont="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justify" vertical="center" wrapText="1"/>
    </xf>
    <xf numFmtId="0" fontId="5"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6" fillId="0" borderId="1" xfId="0" applyFont="1" applyBorder="1" applyAlignment="1">
      <alignment horizontal="center" vertical="center" wrapText="1"/>
    </xf>
    <xf numFmtId="0" fontId="6" fillId="0" borderId="1" xfId="0" applyFont="1" applyBorder="1" applyAlignment="1">
      <alignment horizontal="justify" vertical="center" wrapText="1"/>
    </xf>
    <xf numFmtId="0" fontId="6" fillId="0" borderId="1" xfId="0" quotePrefix="1" applyFont="1" applyBorder="1" applyAlignment="1">
      <alignment horizontal="center" vertical="center" wrapText="1"/>
    </xf>
    <xf numFmtId="0" fontId="7" fillId="0" borderId="0" xfId="0" applyFont="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justify" vertical="center" wrapText="1"/>
    </xf>
    <xf numFmtId="0" fontId="7" fillId="0" borderId="0" xfId="0" applyFont="1" applyAlignment="1">
      <alignment horizontal="center" vertical="center" wrapText="1"/>
    </xf>
    <xf numFmtId="0" fontId="5" fillId="0" borderId="1" xfId="0" applyFont="1" applyBorder="1" applyAlignment="1">
      <alignment horizontal="center" vertical="center" wrapText="1"/>
    </xf>
    <xf numFmtId="0" fontId="8" fillId="0" borderId="0" xfId="0" applyFont="1" applyAlignment="1">
      <alignment horizontal="center" vertical="center" wrapText="1"/>
    </xf>
  </cellXfs>
  <cellStyles count="6">
    <cellStyle name="Comma 2" xfId="1" xr:uid="{00000000-0005-0000-0000-000000000000}"/>
    <cellStyle name="Comma 3" xfId="3" xr:uid="{00000000-0005-0000-0000-000001000000}"/>
    <cellStyle name="Comma 4" xfId="4" xr:uid="{00000000-0005-0000-0000-000002000000}"/>
    <cellStyle name="Normal" xfId="0" builtinId="0"/>
    <cellStyle name="Normal 2 2" xfId="2" xr:uid="{00000000-0005-0000-0000-000004000000}"/>
    <cellStyle name="Normal 2 3" xfId="5"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E62"/>
  <sheetViews>
    <sheetView tabSelected="1" zoomScaleNormal="100" workbookViewId="0">
      <selection sqref="A1:E1"/>
    </sheetView>
  </sheetViews>
  <sheetFormatPr defaultColWidth="9.140625" defaultRowHeight="15.75" x14ac:dyDescent="0.25"/>
  <cols>
    <col min="1" max="1" width="6.42578125" style="2" customWidth="1"/>
    <col min="2" max="2" width="40.42578125" style="3" customWidth="1"/>
    <col min="3" max="4" width="14.42578125" style="2" customWidth="1"/>
    <col min="5" max="5" width="40.7109375" style="2" bestFit="1" customWidth="1"/>
    <col min="6" max="16384" width="9.140625" style="2"/>
  </cols>
  <sheetData>
    <row r="1" spans="1:5" s="9" customFormat="1" ht="16.5" x14ac:dyDescent="0.25">
      <c r="A1" s="12" t="s">
        <v>73</v>
      </c>
      <c r="B1" s="12"/>
      <c r="C1" s="12"/>
      <c r="D1" s="12"/>
      <c r="E1" s="12"/>
    </row>
    <row r="2" spans="1:5" s="9" customFormat="1" ht="16.5" x14ac:dyDescent="0.25">
      <c r="A2" s="12" t="s">
        <v>74</v>
      </c>
      <c r="B2" s="12"/>
      <c r="C2" s="12"/>
      <c r="D2" s="12"/>
      <c r="E2" s="12"/>
    </row>
    <row r="3" spans="1:5" s="9" customFormat="1" ht="16.5" x14ac:dyDescent="0.25">
      <c r="A3" s="12" t="s">
        <v>110</v>
      </c>
      <c r="B3" s="12"/>
      <c r="C3" s="12"/>
      <c r="D3" s="12"/>
      <c r="E3" s="12"/>
    </row>
    <row r="4" spans="1:5" s="9" customFormat="1" ht="16.5" x14ac:dyDescent="0.25">
      <c r="A4" s="12" t="s">
        <v>112</v>
      </c>
      <c r="B4" s="12"/>
      <c r="C4" s="12"/>
      <c r="D4" s="12"/>
      <c r="E4" s="12"/>
    </row>
    <row r="5" spans="1:5" s="9" customFormat="1" ht="16.5" x14ac:dyDescent="0.25">
      <c r="A5" s="14" t="s">
        <v>108</v>
      </c>
      <c r="B5" s="14"/>
      <c r="C5" s="14"/>
      <c r="D5" s="14"/>
      <c r="E5" s="14"/>
    </row>
    <row r="6" spans="1:5" s="9" customFormat="1" ht="16.5" x14ac:dyDescent="0.25">
      <c r="A6" s="14" t="s">
        <v>109</v>
      </c>
      <c r="B6" s="14"/>
      <c r="C6" s="14"/>
      <c r="D6" s="14"/>
      <c r="E6" s="14"/>
    </row>
    <row r="7" spans="1:5" s="10" customFormat="1" ht="16.5" x14ac:dyDescent="0.25">
      <c r="B7" s="11"/>
    </row>
    <row r="8" spans="1:5" s="1" customFormat="1" ht="20.25" customHeight="1" x14ac:dyDescent="0.25">
      <c r="A8" s="13" t="s">
        <v>0</v>
      </c>
      <c r="B8" s="13" t="s">
        <v>76</v>
      </c>
      <c r="C8" s="13" t="s">
        <v>77</v>
      </c>
      <c r="D8" s="13"/>
      <c r="E8" s="13" t="s">
        <v>2</v>
      </c>
    </row>
    <row r="9" spans="1:5" s="1" customFormat="1" ht="20.25" customHeight="1" x14ac:dyDescent="0.25">
      <c r="A9" s="13"/>
      <c r="B9" s="13"/>
      <c r="C9" s="4" t="s">
        <v>1</v>
      </c>
      <c r="D9" s="4" t="s">
        <v>41</v>
      </c>
      <c r="E9" s="13"/>
    </row>
    <row r="10" spans="1:5" s="1" customFormat="1" ht="31.5" x14ac:dyDescent="0.25">
      <c r="A10" s="4" t="s">
        <v>3</v>
      </c>
      <c r="B10" s="5" t="s">
        <v>40</v>
      </c>
      <c r="C10" s="4"/>
      <c r="D10" s="4">
        <f>D11+D14+D22+D30+D16+D28+D38+D40+D42+D44+D35+D20</f>
        <v>24</v>
      </c>
      <c r="E10" s="4"/>
    </row>
    <row r="11" spans="1:5" s="1" customFormat="1" x14ac:dyDescent="0.25">
      <c r="A11" s="4">
        <v>1</v>
      </c>
      <c r="B11" s="5" t="s">
        <v>10</v>
      </c>
      <c r="C11" s="4"/>
      <c r="D11" s="4">
        <f>SUM(D12:D13)</f>
        <v>2</v>
      </c>
      <c r="E11" s="4"/>
    </row>
    <row r="12" spans="1:5" s="1" customFormat="1" ht="31.5" x14ac:dyDescent="0.25">
      <c r="A12" s="6" t="s">
        <v>60</v>
      </c>
      <c r="B12" s="7" t="s">
        <v>10</v>
      </c>
      <c r="C12" s="6" t="s">
        <v>75</v>
      </c>
      <c r="D12" s="6">
        <v>1</v>
      </c>
      <c r="E12" s="6" t="s">
        <v>78</v>
      </c>
    </row>
    <row r="13" spans="1:5" ht="31.5" x14ac:dyDescent="0.25">
      <c r="A13" s="6" t="s">
        <v>61</v>
      </c>
      <c r="B13" s="7" t="s">
        <v>10</v>
      </c>
      <c r="C13" s="6" t="s">
        <v>11</v>
      </c>
      <c r="D13" s="6">
        <v>1</v>
      </c>
      <c r="E13" s="6" t="s">
        <v>12</v>
      </c>
    </row>
    <row r="14" spans="1:5" x14ac:dyDescent="0.25">
      <c r="A14" s="4">
        <v>2</v>
      </c>
      <c r="B14" s="5" t="s">
        <v>79</v>
      </c>
      <c r="C14" s="4"/>
      <c r="D14" s="4">
        <f t="shared" ref="D14" si="0">D15</f>
        <v>1</v>
      </c>
      <c r="E14" s="6"/>
    </row>
    <row r="15" spans="1:5" ht="31.5" x14ac:dyDescent="0.25">
      <c r="A15" s="6" t="s">
        <v>62</v>
      </c>
      <c r="B15" s="7" t="s">
        <v>79</v>
      </c>
      <c r="C15" s="6" t="s">
        <v>11</v>
      </c>
      <c r="D15" s="6">
        <v>1</v>
      </c>
      <c r="E15" s="6" t="s">
        <v>12</v>
      </c>
    </row>
    <row r="16" spans="1:5" s="1" customFormat="1" x14ac:dyDescent="0.25">
      <c r="A16" s="4">
        <v>3</v>
      </c>
      <c r="B16" s="5" t="s">
        <v>5</v>
      </c>
      <c r="C16" s="4"/>
      <c r="D16" s="4">
        <f>SUM(D17:D19)</f>
        <v>3</v>
      </c>
      <c r="E16" s="4"/>
    </row>
    <row r="17" spans="1:5" ht="31.5" x14ac:dyDescent="0.25">
      <c r="A17" s="6" t="s">
        <v>21</v>
      </c>
      <c r="B17" s="7" t="s">
        <v>87</v>
      </c>
      <c r="C17" s="6" t="s">
        <v>19</v>
      </c>
      <c r="D17" s="6">
        <v>1</v>
      </c>
      <c r="E17" s="6" t="s">
        <v>88</v>
      </c>
    </row>
    <row r="18" spans="1:5" ht="31.5" x14ac:dyDescent="0.25">
      <c r="A18" s="6" t="s">
        <v>22</v>
      </c>
      <c r="B18" s="7" t="s">
        <v>87</v>
      </c>
      <c r="C18" s="6" t="s">
        <v>19</v>
      </c>
      <c r="D18" s="6">
        <v>1</v>
      </c>
      <c r="E18" s="6" t="s">
        <v>26</v>
      </c>
    </row>
    <row r="19" spans="1:5" ht="126" x14ac:dyDescent="0.25">
      <c r="A19" s="6" t="s">
        <v>23</v>
      </c>
      <c r="B19" s="7" t="s">
        <v>113</v>
      </c>
      <c r="C19" s="6" t="s">
        <v>19</v>
      </c>
      <c r="D19" s="6">
        <v>1</v>
      </c>
      <c r="E19" s="6" t="s">
        <v>89</v>
      </c>
    </row>
    <row r="20" spans="1:5" s="1" customFormat="1" x14ac:dyDescent="0.25">
      <c r="A20" s="4">
        <v>4</v>
      </c>
      <c r="B20" s="5" t="s">
        <v>53</v>
      </c>
      <c r="C20" s="4"/>
      <c r="D20" s="4">
        <f t="shared" ref="D20" si="1">D21</f>
        <v>1</v>
      </c>
      <c r="E20" s="4"/>
    </row>
    <row r="21" spans="1:5" ht="47.25" x14ac:dyDescent="0.25">
      <c r="A21" s="6" t="s">
        <v>55</v>
      </c>
      <c r="B21" s="7" t="s">
        <v>52</v>
      </c>
      <c r="C21" s="6" t="s">
        <v>19</v>
      </c>
      <c r="D21" s="6">
        <v>1</v>
      </c>
      <c r="E21" s="6" t="s">
        <v>95</v>
      </c>
    </row>
    <row r="22" spans="1:5" s="1" customFormat="1" x14ac:dyDescent="0.25">
      <c r="A22" s="4">
        <v>5</v>
      </c>
      <c r="B22" s="5" t="s">
        <v>42</v>
      </c>
      <c r="C22" s="4"/>
      <c r="D22" s="4">
        <f>SUM(D23:D27)</f>
        <v>6</v>
      </c>
      <c r="E22" s="4"/>
    </row>
    <row r="23" spans="1:5" ht="47.25" x14ac:dyDescent="0.25">
      <c r="A23" s="8" t="s">
        <v>24</v>
      </c>
      <c r="B23" s="7" t="s">
        <v>80</v>
      </c>
      <c r="C23" s="6" t="s">
        <v>13</v>
      </c>
      <c r="D23" s="6">
        <v>2</v>
      </c>
      <c r="E23" s="6" t="s">
        <v>14</v>
      </c>
    </row>
    <row r="24" spans="1:5" ht="47.25" x14ac:dyDescent="0.25">
      <c r="A24" s="6" t="s">
        <v>35</v>
      </c>
      <c r="B24" s="7" t="s">
        <v>9</v>
      </c>
      <c r="C24" s="6" t="s">
        <v>37</v>
      </c>
      <c r="D24" s="6">
        <v>1</v>
      </c>
      <c r="E24" s="6" t="s">
        <v>14</v>
      </c>
    </row>
    <row r="25" spans="1:5" ht="31.5" x14ac:dyDescent="0.25">
      <c r="A25" s="8" t="s">
        <v>36</v>
      </c>
      <c r="B25" s="7" t="s">
        <v>81</v>
      </c>
      <c r="C25" s="6" t="s">
        <v>72</v>
      </c>
      <c r="D25" s="6">
        <v>1</v>
      </c>
      <c r="E25" s="6" t="s">
        <v>27</v>
      </c>
    </row>
    <row r="26" spans="1:5" ht="31.5" x14ac:dyDescent="0.25">
      <c r="A26" s="6" t="s">
        <v>96</v>
      </c>
      <c r="B26" s="7" t="s">
        <v>81</v>
      </c>
      <c r="C26" s="6" t="s">
        <v>19</v>
      </c>
      <c r="D26" s="6">
        <v>1</v>
      </c>
      <c r="E26" s="6" t="s">
        <v>28</v>
      </c>
    </row>
    <row r="27" spans="1:5" ht="47.25" x14ac:dyDescent="0.25">
      <c r="A27" s="8" t="s">
        <v>97</v>
      </c>
      <c r="B27" s="7" t="s">
        <v>44</v>
      </c>
      <c r="C27" s="6" t="s">
        <v>83</v>
      </c>
      <c r="D27" s="6">
        <v>1</v>
      </c>
      <c r="E27" s="6" t="s">
        <v>82</v>
      </c>
    </row>
    <row r="28" spans="1:5" x14ac:dyDescent="0.25">
      <c r="A28" s="4">
        <v>6</v>
      </c>
      <c r="B28" s="5" t="s">
        <v>38</v>
      </c>
      <c r="C28" s="4"/>
      <c r="D28" s="4">
        <f t="shared" ref="D28" si="2">D29</f>
        <v>1</v>
      </c>
      <c r="E28" s="6"/>
    </row>
    <row r="29" spans="1:5" ht="31.5" x14ac:dyDescent="0.25">
      <c r="A29" s="6" t="s">
        <v>63</v>
      </c>
      <c r="B29" s="7" t="s">
        <v>90</v>
      </c>
      <c r="C29" s="6" t="s">
        <v>11</v>
      </c>
      <c r="D29" s="6">
        <v>1</v>
      </c>
      <c r="E29" s="6" t="s">
        <v>91</v>
      </c>
    </row>
    <row r="30" spans="1:5" s="1" customFormat="1" x14ac:dyDescent="0.25">
      <c r="A30" s="4">
        <v>7</v>
      </c>
      <c r="B30" s="5" t="s">
        <v>4</v>
      </c>
      <c r="C30" s="4"/>
      <c r="D30" s="4">
        <f>SUM(D31:D34)</f>
        <v>4</v>
      </c>
      <c r="E30" s="4"/>
    </row>
    <row r="31" spans="1:5" ht="31.5" x14ac:dyDescent="0.25">
      <c r="A31" s="6" t="s">
        <v>64</v>
      </c>
      <c r="B31" s="7" t="s">
        <v>85</v>
      </c>
      <c r="C31" s="6" t="s">
        <v>11</v>
      </c>
      <c r="D31" s="6">
        <v>1</v>
      </c>
      <c r="E31" s="6" t="s">
        <v>15</v>
      </c>
    </row>
    <row r="32" spans="1:5" ht="47.25" x14ac:dyDescent="0.25">
      <c r="A32" s="6" t="s">
        <v>94</v>
      </c>
      <c r="B32" s="7" t="s">
        <v>56</v>
      </c>
      <c r="C32" s="6" t="s">
        <v>29</v>
      </c>
      <c r="D32" s="6">
        <v>1</v>
      </c>
      <c r="E32" s="6" t="s">
        <v>16</v>
      </c>
    </row>
    <row r="33" spans="1:5" ht="31.5" x14ac:dyDescent="0.25">
      <c r="A33" s="6" t="s">
        <v>98</v>
      </c>
      <c r="B33" s="7" t="s">
        <v>86</v>
      </c>
      <c r="C33" s="6" t="s">
        <v>11</v>
      </c>
      <c r="D33" s="6">
        <v>1</v>
      </c>
      <c r="E33" s="6" t="s">
        <v>17</v>
      </c>
    </row>
    <row r="34" spans="1:5" ht="110.25" x14ac:dyDescent="0.25">
      <c r="A34" s="6" t="s">
        <v>99</v>
      </c>
      <c r="B34" s="7" t="s">
        <v>43</v>
      </c>
      <c r="C34" s="6" t="s">
        <v>54</v>
      </c>
      <c r="D34" s="6">
        <v>1</v>
      </c>
      <c r="E34" s="6" t="s">
        <v>84</v>
      </c>
    </row>
    <row r="35" spans="1:5" x14ac:dyDescent="0.25">
      <c r="A35" s="4">
        <v>8</v>
      </c>
      <c r="B35" s="5" t="s">
        <v>45</v>
      </c>
      <c r="C35" s="4"/>
      <c r="D35" s="4">
        <v>2</v>
      </c>
      <c r="E35" s="4"/>
    </row>
    <row r="36" spans="1:5" x14ac:dyDescent="0.25">
      <c r="A36" s="6" t="s">
        <v>65</v>
      </c>
      <c r="B36" s="7" t="s">
        <v>111</v>
      </c>
      <c r="C36" s="6" t="s">
        <v>20</v>
      </c>
      <c r="D36" s="6">
        <v>1</v>
      </c>
      <c r="E36" s="6" t="s">
        <v>46</v>
      </c>
    </row>
    <row r="37" spans="1:5" s="1" customFormat="1" x14ac:dyDescent="0.25">
      <c r="A37" s="6" t="s">
        <v>100</v>
      </c>
      <c r="B37" s="7" t="s">
        <v>69</v>
      </c>
      <c r="C37" s="6" t="s">
        <v>20</v>
      </c>
      <c r="D37" s="6">
        <v>1</v>
      </c>
      <c r="E37" s="6" t="s">
        <v>46</v>
      </c>
    </row>
    <row r="38" spans="1:5" x14ac:dyDescent="0.25">
      <c r="A38" s="4">
        <v>9</v>
      </c>
      <c r="B38" s="5" t="s">
        <v>6</v>
      </c>
      <c r="C38" s="4"/>
      <c r="D38" s="4">
        <f t="shared" ref="D38" si="3">D39</f>
        <v>1</v>
      </c>
      <c r="E38" s="6"/>
    </row>
    <row r="39" spans="1:5" ht="63" x14ac:dyDescent="0.25">
      <c r="A39" s="8" t="s">
        <v>66</v>
      </c>
      <c r="B39" s="7" t="s">
        <v>92</v>
      </c>
      <c r="C39" s="6" t="s">
        <v>13</v>
      </c>
      <c r="D39" s="6">
        <v>1</v>
      </c>
      <c r="E39" s="6" t="s">
        <v>39</v>
      </c>
    </row>
    <row r="40" spans="1:5" s="1" customFormat="1" x14ac:dyDescent="0.25">
      <c r="A40" s="4">
        <v>10</v>
      </c>
      <c r="B40" s="5" t="s">
        <v>7</v>
      </c>
      <c r="C40" s="4"/>
      <c r="D40" s="4">
        <f t="shared" ref="D40" si="4">D41</f>
        <v>1</v>
      </c>
      <c r="E40" s="4"/>
    </row>
    <row r="41" spans="1:5" ht="31.5" x14ac:dyDescent="0.25">
      <c r="A41" s="6" t="s">
        <v>67</v>
      </c>
      <c r="B41" s="7" t="s">
        <v>7</v>
      </c>
      <c r="C41" s="6" t="s">
        <v>11</v>
      </c>
      <c r="D41" s="6">
        <v>1</v>
      </c>
      <c r="E41" s="6" t="s">
        <v>18</v>
      </c>
    </row>
    <row r="42" spans="1:5" s="1" customFormat="1" x14ac:dyDescent="0.25">
      <c r="A42" s="4">
        <v>11</v>
      </c>
      <c r="B42" s="5" t="s">
        <v>93</v>
      </c>
      <c r="C42" s="4"/>
      <c r="D42" s="4">
        <f t="shared" ref="D42" si="5">D43</f>
        <v>1</v>
      </c>
      <c r="E42" s="4"/>
    </row>
    <row r="43" spans="1:5" ht="31.5" x14ac:dyDescent="0.25">
      <c r="A43" s="6" t="s">
        <v>68</v>
      </c>
      <c r="B43" s="7" t="s">
        <v>93</v>
      </c>
      <c r="C43" s="6" t="s">
        <v>11</v>
      </c>
      <c r="D43" s="6">
        <v>1</v>
      </c>
      <c r="E43" s="6" t="s">
        <v>18</v>
      </c>
    </row>
    <row r="44" spans="1:5" s="1" customFormat="1" x14ac:dyDescent="0.25">
      <c r="A44" s="4">
        <v>12</v>
      </c>
      <c r="B44" s="5" t="s">
        <v>8</v>
      </c>
      <c r="C44" s="4"/>
      <c r="D44" s="4">
        <f t="shared" ref="D44" si="6">D45</f>
        <v>1</v>
      </c>
      <c r="E44" s="4"/>
    </row>
    <row r="45" spans="1:5" ht="31.5" x14ac:dyDescent="0.25">
      <c r="A45" s="6" t="s">
        <v>70</v>
      </c>
      <c r="B45" s="7" t="s">
        <v>8</v>
      </c>
      <c r="C45" s="6" t="s">
        <v>11</v>
      </c>
      <c r="D45" s="6">
        <v>1</v>
      </c>
      <c r="E45" s="6" t="s">
        <v>18</v>
      </c>
    </row>
    <row r="46" spans="1:5" x14ac:dyDescent="0.25">
      <c r="A46" s="4" t="s">
        <v>51</v>
      </c>
      <c r="B46" s="5" t="s">
        <v>50</v>
      </c>
      <c r="C46" s="6"/>
      <c r="D46" s="4">
        <f>D47+D51+D53+D55+D57+D61</f>
        <v>11</v>
      </c>
      <c r="E46" s="6"/>
    </row>
    <row r="47" spans="1:5" s="1" customFormat="1" x14ac:dyDescent="0.25">
      <c r="A47" s="4">
        <v>1</v>
      </c>
      <c r="B47" s="5" t="s">
        <v>47</v>
      </c>
      <c r="C47" s="4"/>
      <c r="D47" s="4">
        <f>SUM(D48:D50)</f>
        <v>4</v>
      </c>
      <c r="E47" s="4"/>
    </row>
    <row r="48" spans="1:5" ht="31.5" x14ac:dyDescent="0.25">
      <c r="A48" s="6" t="s">
        <v>60</v>
      </c>
      <c r="B48" s="7" t="s">
        <v>101</v>
      </c>
      <c r="C48" s="6" t="s">
        <v>19</v>
      </c>
      <c r="D48" s="6">
        <v>1</v>
      </c>
      <c r="E48" s="6" t="s">
        <v>25</v>
      </c>
    </row>
    <row r="49" spans="1:5" ht="31.5" x14ac:dyDescent="0.25">
      <c r="A49" s="6" t="s">
        <v>61</v>
      </c>
      <c r="B49" s="7" t="s">
        <v>101</v>
      </c>
      <c r="C49" s="6" t="s">
        <v>25</v>
      </c>
      <c r="D49" s="6">
        <v>1</v>
      </c>
      <c r="E49" s="6" t="s">
        <v>25</v>
      </c>
    </row>
    <row r="50" spans="1:5" ht="31.5" x14ac:dyDescent="0.25">
      <c r="A50" s="6" t="s">
        <v>71</v>
      </c>
      <c r="B50" s="7" t="s">
        <v>101</v>
      </c>
      <c r="C50" s="6" t="s">
        <v>19</v>
      </c>
      <c r="D50" s="6">
        <v>2</v>
      </c>
      <c r="E50" s="6" t="s">
        <v>102</v>
      </c>
    </row>
    <row r="51" spans="1:5" x14ac:dyDescent="0.25">
      <c r="A51" s="4">
        <v>2</v>
      </c>
      <c r="B51" s="5" t="s">
        <v>48</v>
      </c>
      <c r="C51" s="4"/>
      <c r="D51" s="4">
        <f t="shared" ref="D51:D53" si="7">D52</f>
        <v>1</v>
      </c>
      <c r="E51" s="4"/>
    </row>
    <row r="52" spans="1:5" ht="31.5" x14ac:dyDescent="0.25">
      <c r="A52" s="6" t="s">
        <v>62</v>
      </c>
      <c r="B52" s="7" t="s">
        <v>103</v>
      </c>
      <c r="C52" s="6" t="s">
        <v>19</v>
      </c>
      <c r="D52" s="6">
        <v>1</v>
      </c>
      <c r="E52" s="6" t="s">
        <v>102</v>
      </c>
    </row>
    <row r="53" spans="1:5" x14ac:dyDescent="0.25">
      <c r="A53" s="4">
        <v>3</v>
      </c>
      <c r="B53" s="5" t="s">
        <v>57</v>
      </c>
      <c r="C53" s="4"/>
      <c r="D53" s="4">
        <f t="shared" si="7"/>
        <v>1</v>
      </c>
      <c r="E53" s="4"/>
    </row>
    <row r="54" spans="1:5" ht="31.5" x14ac:dyDescent="0.25">
      <c r="A54" s="6" t="s">
        <v>21</v>
      </c>
      <c r="B54" s="7" t="s">
        <v>104</v>
      </c>
      <c r="C54" s="6" t="s">
        <v>19</v>
      </c>
      <c r="D54" s="6">
        <v>1</v>
      </c>
      <c r="E54" s="6" t="s">
        <v>102</v>
      </c>
    </row>
    <row r="55" spans="1:5" s="1" customFormat="1" x14ac:dyDescent="0.25">
      <c r="A55" s="4">
        <v>4</v>
      </c>
      <c r="B55" s="5" t="s">
        <v>59</v>
      </c>
      <c r="C55" s="4"/>
      <c r="D55" s="4">
        <f>SUM(D56:D56)</f>
        <v>1</v>
      </c>
      <c r="E55" s="4"/>
    </row>
    <row r="56" spans="1:5" ht="31.5" x14ac:dyDescent="0.25">
      <c r="A56" s="6" t="s">
        <v>55</v>
      </c>
      <c r="B56" s="7" t="s">
        <v>105</v>
      </c>
      <c r="C56" s="6" t="s">
        <v>19</v>
      </c>
      <c r="D56" s="6">
        <v>1</v>
      </c>
      <c r="E56" s="6" t="s">
        <v>102</v>
      </c>
    </row>
    <row r="57" spans="1:5" x14ac:dyDescent="0.25">
      <c r="A57" s="4">
        <v>5</v>
      </c>
      <c r="B57" s="5" t="s">
        <v>49</v>
      </c>
      <c r="C57" s="4"/>
      <c r="D57" s="4">
        <f>SUM(D58:D60)</f>
        <v>3</v>
      </c>
      <c r="E57" s="4"/>
    </row>
    <row r="58" spans="1:5" ht="31.5" x14ac:dyDescent="0.25">
      <c r="A58" s="6" t="s">
        <v>24</v>
      </c>
      <c r="B58" s="7" t="s">
        <v>106</v>
      </c>
      <c r="C58" s="6" t="s">
        <v>31</v>
      </c>
      <c r="D58" s="6">
        <v>1</v>
      </c>
      <c r="E58" s="6" t="s">
        <v>32</v>
      </c>
    </row>
    <row r="59" spans="1:5" ht="31.5" x14ac:dyDescent="0.25">
      <c r="A59" s="6" t="s">
        <v>35</v>
      </c>
      <c r="B59" s="7" t="s">
        <v>106</v>
      </c>
      <c r="C59" s="6" t="s">
        <v>19</v>
      </c>
      <c r="D59" s="6">
        <v>1</v>
      </c>
      <c r="E59" s="6" t="s">
        <v>33</v>
      </c>
    </row>
    <row r="60" spans="1:5" ht="31.5" x14ac:dyDescent="0.25">
      <c r="A60" s="6" t="s">
        <v>36</v>
      </c>
      <c r="B60" s="7" t="s">
        <v>106</v>
      </c>
      <c r="C60" s="6" t="s">
        <v>30</v>
      </c>
      <c r="D60" s="6">
        <v>1</v>
      </c>
      <c r="E60" s="6" t="s">
        <v>34</v>
      </c>
    </row>
    <row r="61" spans="1:5" s="1" customFormat="1" x14ac:dyDescent="0.25">
      <c r="A61" s="4">
        <v>6</v>
      </c>
      <c r="B61" s="5" t="s">
        <v>58</v>
      </c>
      <c r="C61" s="4"/>
      <c r="D61" s="4">
        <f t="shared" ref="D61" si="8">D62</f>
        <v>1</v>
      </c>
      <c r="E61" s="4"/>
    </row>
    <row r="62" spans="1:5" x14ac:dyDescent="0.25">
      <c r="A62" s="6" t="s">
        <v>63</v>
      </c>
      <c r="B62" s="7" t="s">
        <v>107</v>
      </c>
      <c r="C62" s="6" t="s">
        <v>20</v>
      </c>
      <c r="D62" s="6">
        <v>1</v>
      </c>
      <c r="E62" s="6" t="s">
        <v>46</v>
      </c>
    </row>
  </sheetData>
  <mergeCells count="10">
    <mergeCell ref="A1:E1"/>
    <mergeCell ref="A8:A9"/>
    <mergeCell ref="B8:B9"/>
    <mergeCell ref="E8:E9"/>
    <mergeCell ref="C8:D8"/>
    <mergeCell ref="A5:E5"/>
    <mergeCell ref="A2:E2"/>
    <mergeCell ref="A6:E6"/>
    <mergeCell ref="A3:E3"/>
    <mergeCell ref="A4:E4"/>
  </mergeCells>
  <phoneticPr fontId="3" type="noConversion"/>
  <printOptions horizontalCentered="1"/>
  <pageMargins left="0.39370078740157483" right="0.39370078740157483" top="0.59055118110236227" bottom="0.59055118110236227" header="0.31496062992125984" footer="0.31496062992125984"/>
  <pageSetup paperSize="9" scale="81" fitToHeight="0" orientation="portrait" r:id="rId1"/>
  <headerFooter differentFirst="1">
    <oddHeader>&amp;C&amp;"Times New Roman,Regular"&amp;P</oddHeader>
  </headerFooter>
  <ignoredErrors>
    <ignoredError sqref="D30"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Phu luc</vt:lpstr>
      <vt:lpstr>'Phu luc'!Print_Area</vt:lpstr>
      <vt:lpstr>'Phu luc'!Print_Titles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Phòng Tổng hợp - Văn phòng UBND tỉnh Hà Tĩnh</dc:title>
  <dc:creator/>
  <cp:lastModifiedBy/>
  <dcterms:created xsi:type="dcterms:W3CDTF">2006-09-16T00:00:00Z</dcterms:created>
  <dcterms:modified xsi:type="dcterms:W3CDTF">2026-08-10T07:13:03Z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